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3월 강사별 리포트" sheetId="2" state="visible" r:id="rId2"/>
    <sheet name="2월 강사별 리포트" sheetId="3" state="visible" r:id="rId3"/>
    <sheet name="월별 비교" sheetId="4" state="visible" r:id="rId4"/>
    <sheet name="전체 스튜디오 현황" sheetId="5" state="visible" r:id="rId5"/>
    <sheet name="팀별 비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2C3E50"/>
      <sz val="16"/>
    </font>
    <font>
      <name val="Arial"/>
      <b val="1"/>
      <color rgb="00FFFFFF"/>
      <sz val="12"/>
    </font>
    <font>
      <name val="Arial"/>
      <i val="1"/>
      <color rgb="007F8C8D"/>
      <sz val="9"/>
    </font>
    <font>
      <name val="Arial"/>
      <color rgb="007F8C8D"/>
      <sz val="9"/>
    </font>
    <font>
      <name val="Arial"/>
      <i val="1"/>
      <color rgb="00E74C3C"/>
      <sz val="11"/>
    </font>
  </fonts>
  <fills count="7">
    <fill>
      <patternFill/>
    </fill>
    <fill>
      <patternFill patternType="gray125"/>
    </fill>
    <fill>
      <patternFill patternType="solid">
        <fgColor rgb="001ABC9C"/>
      </patternFill>
    </fill>
    <fill>
      <patternFill patternType="solid">
        <fgColor rgb="0034495E"/>
      </patternFill>
    </fill>
    <fill>
      <patternFill patternType="solid">
        <fgColor rgb="00ECF0F1"/>
      </patternFill>
    </fill>
    <fill>
      <patternFill patternType="solid">
        <fgColor rgb="002C3E50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25" customWidth="1" min="5" max="5"/>
    <col width="5" customWidth="1" min="6" max="6"/>
  </cols>
  <sheetData>
    <row r="1">
      <c r="A1" s="9" t="inlineStr">
        <is>
          <t>TRNT 레슨리포트 설정</t>
        </is>
      </c>
    </row>
    <row r="3">
      <c r="A3" s="10" t="inlineStr">
        <is>
          <t>팀 구성 설정</t>
        </is>
      </c>
    </row>
    <row r="4">
      <c r="A4" s="11" t="inlineStr">
        <is>
          <t>※ 강사명 옆의 팀 열에 팀명을 입력하세요 (예: A팀, B팀, C팀)</t>
        </is>
      </c>
    </row>
    <row r="5">
      <c r="A5" s="12" t="inlineStr">
        <is>
          <t>No.</t>
        </is>
      </c>
      <c r="B5" s="12" t="inlineStr">
        <is>
          <t>강사명</t>
        </is>
      </c>
      <c r="C5" s="12" t="inlineStr">
        <is>
          <t>팀</t>
        </is>
      </c>
      <c r="D5" s="12" t="inlineStr">
        <is>
          <t>직급</t>
        </is>
      </c>
      <c r="E5" s="12" t="inlineStr">
        <is>
          <t>비고</t>
        </is>
      </c>
    </row>
    <row r="6">
      <c r="A6" s="13" t="n">
        <v>1</v>
      </c>
      <c r="B6" s="13" t="inlineStr">
        <is>
          <t>강다감</t>
        </is>
      </c>
      <c r="C6" s="14" t="n"/>
      <c r="D6" s="14" t="n"/>
      <c r="E6" s="15" t="n"/>
    </row>
    <row r="7">
      <c r="A7" s="13" t="n">
        <v>2</v>
      </c>
      <c r="B7" s="13" t="inlineStr">
        <is>
          <t>고진실</t>
        </is>
      </c>
      <c r="C7" s="14" t="n"/>
      <c r="D7" s="14" t="n"/>
      <c r="E7" s="15" t="n"/>
    </row>
    <row r="8">
      <c r="A8" s="13" t="n">
        <v>3</v>
      </c>
      <c r="B8" s="13" t="inlineStr">
        <is>
          <t>곽진경</t>
        </is>
      </c>
      <c r="C8" s="14" t="n"/>
      <c r="D8" s="14" t="n"/>
      <c r="E8" s="15" t="n"/>
    </row>
    <row r="9">
      <c r="A9" s="13" t="n">
        <v>4</v>
      </c>
      <c r="B9" s="13" t="inlineStr">
        <is>
          <t>김어진</t>
        </is>
      </c>
      <c r="C9" s="14" t="n"/>
      <c r="D9" s="14" t="n"/>
      <c r="E9" s="15" t="n"/>
    </row>
    <row r="10">
      <c r="A10" s="13" t="n">
        <v>5</v>
      </c>
      <c r="B10" s="13" t="inlineStr">
        <is>
          <t>김유하</t>
        </is>
      </c>
      <c r="C10" s="14" t="n"/>
      <c r="D10" s="14" t="n"/>
      <c r="E10" s="15" t="n"/>
    </row>
    <row r="11">
      <c r="A11" s="13" t="n">
        <v>6</v>
      </c>
      <c r="B11" s="13" t="inlineStr">
        <is>
          <t>김홍선</t>
        </is>
      </c>
      <c r="C11" s="14" t="n"/>
      <c r="D11" s="14" t="n"/>
      <c r="E11" s="15" t="n"/>
    </row>
    <row r="12">
      <c r="A12" s="13" t="n">
        <v>7</v>
      </c>
      <c r="B12" s="13" t="inlineStr">
        <is>
          <t>김희원</t>
        </is>
      </c>
      <c r="C12" s="14" t="n"/>
      <c r="D12" s="14" t="n"/>
      <c r="E12" s="15" t="n"/>
    </row>
    <row r="13">
      <c r="A13" s="13" t="n">
        <v>8</v>
      </c>
      <c r="B13" s="13" t="inlineStr">
        <is>
          <t>박은슬</t>
        </is>
      </c>
      <c r="C13" s="14" t="n"/>
      <c r="D13" s="14" t="n"/>
      <c r="E13" s="15" t="n"/>
    </row>
    <row r="14">
      <c r="A14" s="13" t="n">
        <v>9</v>
      </c>
      <c r="B14" s="13" t="inlineStr">
        <is>
          <t>신효선</t>
        </is>
      </c>
      <c r="C14" s="14" t="n"/>
      <c r="D14" s="14" t="n"/>
      <c r="E14" s="15" t="n"/>
    </row>
    <row r="15">
      <c r="A15" s="13" t="n">
        <v>10</v>
      </c>
      <c r="B15" s="13" t="inlineStr">
        <is>
          <t>이송연</t>
        </is>
      </c>
      <c r="C15" s="14" t="n"/>
      <c r="D15" s="14" t="n"/>
      <c r="E15" s="15" t="n"/>
    </row>
    <row r="16">
      <c r="A16" s="13" t="n">
        <v>11</v>
      </c>
      <c r="B16" s="13" t="inlineStr">
        <is>
          <t>이수민</t>
        </is>
      </c>
      <c r="C16" s="14" t="n"/>
      <c r="D16" s="14" t="n"/>
      <c r="E16" s="15" t="n"/>
    </row>
    <row r="17">
      <c r="A17" s="13" t="n">
        <v>12</v>
      </c>
      <c r="B17" s="13" t="inlineStr">
        <is>
          <t>이윤희</t>
        </is>
      </c>
      <c r="C17" s="14" t="n"/>
      <c r="D17" s="14" t="n"/>
      <c r="E17" s="15" t="n"/>
    </row>
    <row r="18">
      <c r="A18" s="13" t="n">
        <v>13</v>
      </c>
      <c r="B18" s="13" t="inlineStr">
        <is>
          <t>장연우</t>
        </is>
      </c>
      <c r="C18" s="14" t="n"/>
      <c r="D18" s="14" t="n"/>
      <c r="E18" s="15" t="n"/>
    </row>
    <row r="19">
      <c r="A19" s="13" t="n">
        <v>14</v>
      </c>
      <c r="B19" s="13" t="inlineStr">
        <is>
          <t>정유정</t>
        </is>
      </c>
      <c r="C19" s="14" t="n"/>
      <c r="D19" s="14" t="n"/>
      <c r="E19" s="15" t="n"/>
    </row>
    <row r="20">
      <c r="A20" s="13" t="n">
        <v>15</v>
      </c>
      <c r="B20" s="13" t="inlineStr">
        <is>
          <t>조수진</t>
        </is>
      </c>
      <c r="C20" s="14" t="n"/>
      <c r="D20" s="14" t="n"/>
      <c r="E20" s="15" t="n"/>
    </row>
    <row r="21">
      <c r="A21" s="13" t="n">
        <v>16</v>
      </c>
      <c r="B21" s="13" t="inlineStr">
        <is>
          <t>조윤정</t>
        </is>
      </c>
      <c r="C21" s="14" t="n"/>
      <c r="D21" s="14" t="n"/>
      <c r="E21" s="15" t="n"/>
    </row>
    <row r="22">
      <c r="A22" s="13" t="n">
        <v>17</v>
      </c>
      <c r="B22" s="13" t="inlineStr">
        <is>
          <t>최지은</t>
        </is>
      </c>
      <c r="C22" s="14" t="n"/>
      <c r="D22" s="14" t="n"/>
      <c r="E22" s="15" t="n"/>
    </row>
    <row r="23">
      <c r="A23" s="13" t="n">
        <v>18</v>
      </c>
      <c r="B23" s="13" t="inlineStr">
        <is>
          <t>한진주</t>
        </is>
      </c>
      <c r="C23" s="14" t="n"/>
      <c r="D23" s="14" t="n"/>
      <c r="E23" s="15" t="n"/>
    </row>
    <row r="24">
      <c r="A24" s="13" t="n">
        <v>19</v>
      </c>
      <c r="B24" s="13" t="inlineStr">
        <is>
          <t>허다연</t>
        </is>
      </c>
      <c r="C24" s="14" t="n"/>
      <c r="D24" s="14" t="n"/>
      <c r="E24" s="15" t="n"/>
    </row>
    <row r="25">
      <c r="A25" s="13" t="n">
        <v>20</v>
      </c>
      <c r="B25" s="13" t="inlineStr">
        <is>
          <t>현미란</t>
        </is>
      </c>
      <c r="C25" s="14" t="n"/>
      <c r="D25" s="14" t="n"/>
      <c r="E25" s="15" t="n"/>
    </row>
    <row r="28">
      <c r="A28" s="10" t="inlineStr">
        <is>
          <t>목표 설정</t>
        </is>
      </c>
    </row>
    <row r="29">
      <c r="A29" s="12" t="inlineStr">
        <is>
          <t>항목</t>
        </is>
      </c>
      <c r="B29" s="12" t="inlineStr">
        <is>
          <t>목표값</t>
        </is>
      </c>
      <c r="C29" s="12" t="inlineStr">
        <is>
          <t>설명</t>
        </is>
      </c>
    </row>
    <row r="30">
      <c r="A30" s="16" t="inlineStr">
        <is>
          <t>개인출석율 목표</t>
        </is>
      </c>
      <c r="B30" s="14" t="inlineStr">
        <is>
          <t>85%</t>
        </is>
      </c>
      <c r="C30" s="17" t="inlineStr">
        <is>
          <t>개인 레슨 출석율 목표 (기본: 85%)</t>
        </is>
      </c>
    </row>
    <row r="31">
      <c r="A31" s="16" t="inlineStr">
        <is>
          <t>그룹출석율 목표</t>
        </is>
      </c>
      <c r="B31" s="14" t="inlineStr">
        <is>
          <t>80%</t>
        </is>
      </c>
      <c r="C31" s="17" t="inlineStr">
        <is>
          <t>그룹 레슨 출석율 목표 (기본: 80%)</t>
        </is>
      </c>
    </row>
    <row r="32">
      <c r="A32" s="16" t="inlineStr">
        <is>
          <t>재등록률 목표</t>
        </is>
      </c>
      <c r="B32" s="14" t="inlineStr">
        <is>
          <t>70%</t>
        </is>
      </c>
      <c r="C32" s="17" t="inlineStr">
        <is>
          <t>재등록 완료 / 재등 예정 목표</t>
        </is>
      </c>
    </row>
    <row r="33">
      <c r="A33" s="16" t="inlineStr">
        <is>
          <t>체험등록율 목표</t>
        </is>
      </c>
      <c r="B33" s="14" t="inlineStr">
        <is>
          <t>50%</t>
        </is>
      </c>
      <c r="C33" s="17" t="inlineStr">
        <is>
          <t>체험 등록 / 체험 수업 목표</t>
        </is>
      </c>
    </row>
    <row r="34">
      <c r="A34" s="16" t="inlineStr">
        <is>
          <t>최소레슨수</t>
        </is>
      </c>
      <c r="B34" s="14" t="inlineStr">
        <is>
          <t>80</t>
        </is>
      </c>
      <c r="C34" s="17" t="inlineStr">
        <is>
          <t>강사 월 최소 레슨 수</t>
        </is>
      </c>
    </row>
    <row r="35">
      <c r="A35" s="16" t="inlineStr">
        <is>
          <t>목표레슨수</t>
        </is>
      </c>
      <c r="B35" s="14" t="inlineStr">
        <is>
          <t>100</t>
        </is>
      </c>
      <c r="C35" s="17" t="inlineStr">
        <is>
          <t>강사 월 목표 레슨 수</t>
        </is>
      </c>
    </row>
    <row r="36">
      <c r="A36" s="16" t="inlineStr">
        <is>
          <t>최대레슨수</t>
        </is>
      </c>
      <c r="B36" s="14" t="inlineStr">
        <is>
          <t>130</t>
        </is>
      </c>
      <c r="C36" s="17" t="inlineStr">
        <is>
          <t>강사 월 최대 레슨 수</t>
        </is>
      </c>
    </row>
    <row r="39">
      <c r="A39" s="10" t="inlineStr">
        <is>
          <t>노션 연동 설정</t>
        </is>
      </c>
    </row>
    <row r="40">
      <c r="A40" s="12" t="inlineStr">
        <is>
          <t>항목</t>
        </is>
      </c>
      <c r="B40" s="12" t="inlineStr">
        <is>
          <t>값</t>
        </is>
      </c>
      <c r="C40" s="12" t="inlineStr">
        <is>
          <t>설명</t>
        </is>
      </c>
    </row>
    <row r="41">
      <c r="A41" s="16" t="inlineStr">
        <is>
          <t>노션 API 토큰</t>
        </is>
      </c>
      <c r="B41" s="15" t="inlineStr">
        <is>
          <t>ntn_60198...</t>
        </is>
      </c>
      <c r="C41" s="17" t="inlineStr">
        <is>
          <t>노션 Integration 토큰</t>
        </is>
      </c>
    </row>
    <row r="42">
      <c r="A42" s="16" t="inlineStr">
        <is>
          <t>레슨리포트 DB ID</t>
        </is>
      </c>
      <c r="B42" s="15" t="inlineStr">
        <is>
          <t>2c5e041a9ce380248ce3c6d3e71bff8b</t>
        </is>
      </c>
      <c r="C42" s="17" t="inlineStr">
        <is>
          <t>강사 제출 레슨리포트 DB</t>
        </is>
      </c>
    </row>
    <row r="43">
      <c r="A43" s="16" t="inlineStr">
        <is>
          <t>자동수집일</t>
        </is>
      </c>
      <c r="B43" s="15" t="inlineStr">
        <is>
          <t>매월 14일</t>
        </is>
      </c>
      <c r="C43" s="17" t="inlineStr">
        <is>
          <t>노션 데이터 자동 수집 날짜</t>
        </is>
      </c>
    </row>
  </sheetData>
  <mergeCells count="5">
    <mergeCell ref="A28:F28"/>
    <mergeCell ref="A1:F1"/>
    <mergeCell ref="A4:F4"/>
    <mergeCell ref="A3:F3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TRNT 필라테스 - 3월 강사별 레슨 리포트</t>
        </is>
      </c>
    </row>
    <row r="3">
      <c r="A3" s="2" t="inlineStr"/>
      <c r="B3" s="2" t="inlineStr">
        <is>
          <t>노션 제출 데이터</t>
        </is>
      </c>
      <c r="C3" s="18" t="n"/>
      <c r="D3" s="2" t="inlineStr">
        <is>
          <t>개인 레슨</t>
        </is>
      </c>
      <c r="E3" s="19" t="n"/>
      <c r="F3" s="19" t="n"/>
      <c r="G3" s="19" t="n"/>
      <c r="H3" s="18" t="n"/>
      <c r="I3" s="2" t="inlineStr">
        <is>
          <t>체험(OT)</t>
        </is>
      </c>
      <c r="J3" s="19" t="n"/>
      <c r="K3" s="19" t="n"/>
      <c r="L3" s="18" t="n"/>
      <c r="M3" s="2" t="inlineStr">
        <is>
          <t>듀엣 레슨</t>
        </is>
      </c>
      <c r="N3" s="19" t="n"/>
      <c r="O3" s="18" t="n"/>
      <c r="P3" s="2" t="inlineStr">
        <is>
          <t>그룹 레슨</t>
        </is>
      </c>
      <c r="Q3" s="19" t="n"/>
      <c r="R3" s="19" t="n"/>
      <c r="S3" s="19" t="n"/>
      <c r="T3" s="18" t="n"/>
      <c r="U3" s="2" t="inlineStr">
        <is>
          <t>재등록</t>
        </is>
      </c>
      <c r="V3" s="19" t="n"/>
      <c r="W3" s="18" t="n"/>
      <c r="X3" s="2" t="inlineStr">
        <is>
          <t>아카데미</t>
        </is>
      </c>
      <c r="Y3" s="2" t="inlineStr">
        <is>
          <t>종합</t>
        </is>
      </c>
      <c r="Z3" s="18" t="n"/>
    </row>
    <row r="4">
      <c r="A4" s="3" t="inlineStr">
        <is>
          <t>강사</t>
        </is>
      </c>
      <c r="B4" s="3" t="inlineStr">
        <is>
          <t>전체고객수</t>
        </is>
      </c>
      <c r="C4" s="3" t="inlineStr">
        <is>
          <t>홀딩고객수</t>
        </is>
      </c>
      <c r="D4" s="3" t="inlineStr">
        <is>
          <t>개인수업수</t>
        </is>
      </c>
      <c r="E4" s="3" t="inlineStr">
        <is>
          <t>개인출석수</t>
        </is>
      </c>
      <c r="F4" s="3" t="inlineStr">
        <is>
          <t>개인결석수</t>
        </is>
      </c>
      <c r="G4" s="3" t="inlineStr">
        <is>
          <t>개인출석율</t>
        </is>
      </c>
      <c r="H4" s="3" t="inlineStr">
        <is>
          <t>출석율목표달성</t>
        </is>
      </c>
      <c r="I4" s="3" t="inlineStr">
        <is>
          <t>개인체험(OT)</t>
        </is>
      </c>
      <c r="J4" s="3" t="inlineStr">
        <is>
          <t>체험수업수</t>
        </is>
      </c>
      <c r="K4" s="3" t="inlineStr">
        <is>
          <t>체험등록수</t>
        </is>
      </c>
      <c r="L4" s="3" t="inlineStr">
        <is>
          <t>체험등록율</t>
        </is>
      </c>
      <c r="M4" s="3" t="inlineStr">
        <is>
          <t>듀엣회원수</t>
        </is>
      </c>
      <c r="N4" s="3" t="inlineStr">
        <is>
          <t>듀엣수업수</t>
        </is>
      </c>
      <c r="O4" s="3" t="inlineStr">
        <is>
          <t>듀엣출석수</t>
        </is>
      </c>
      <c r="P4" s="3" t="inlineStr">
        <is>
          <t>그룹회원수</t>
        </is>
      </c>
      <c r="Q4" s="3" t="inlineStr">
        <is>
          <t>그룹수업수</t>
        </is>
      </c>
      <c r="R4" s="3" t="inlineStr">
        <is>
          <t>그룹출석수</t>
        </is>
      </c>
      <c r="S4" s="3" t="inlineStr">
        <is>
          <t>그룹결석수</t>
        </is>
      </c>
      <c r="T4" s="3" t="inlineStr">
        <is>
          <t>그룹출석율</t>
        </is>
      </c>
      <c r="U4" s="3" t="inlineStr">
        <is>
          <t>재등예정수</t>
        </is>
      </c>
      <c r="V4" s="3" t="inlineStr">
        <is>
          <t>재등완료수</t>
        </is>
      </c>
      <c r="W4" s="3" t="inlineStr">
        <is>
          <t>재등록률</t>
        </is>
      </c>
      <c r="X4" s="3" t="inlineStr">
        <is>
          <t>아카데미</t>
        </is>
      </c>
      <c r="Y4" s="3" t="inlineStr">
        <is>
          <t>총수업수</t>
        </is>
      </c>
      <c r="Z4" s="3" t="inlineStr">
        <is>
          <t>총출석수</t>
        </is>
      </c>
    </row>
    <row r="5">
      <c r="A5" s="4" t="inlineStr">
        <is>
          <t>강다감</t>
        </is>
      </c>
      <c r="B5" s="4" t="n"/>
      <c r="C5" s="4" t="n"/>
      <c r="D5" s="4" t="n">
        <v>122</v>
      </c>
      <c r="E5" s="4" t="n">
        <v>122</v>
      </c>
      <c r="F5" s="4" t="n">
        <v>0</v>
      </c>
      <c r="G5" s="5" t="n">
        <v>1</v>
      </c>
      <c r="H5" s="5" t="n">
        <v>1.176470588235294</v>
      </c>
      <c r="I5" s="4" t="n">
        <v>0</v>
      </c>
      <c r="J5" s="4" t="n"/>
      <c r="K5" s="4" t="n"/>
      <c r="L5" s="5" t="n"/>
      <c r="M5" s="4" t="n">
        <v>8</v>
      </c>
      <c r="N5" s="4" t="n">
        <v>4</v>
      </c>
      <c r="O5" s="4" t="n">
        <v>8</v>
      </c>
      <c r="P5" s="4" t="n">
        <v>10</v>
      </c>
      <c r="Q5" s="4" t="n">
        <v>7</v>
      </c>
      <c r="R5" s="4" t="n">
        <v>28</v>
      </c>
      <c r="S5" s="4" t="n">
        <v>0</v>
      </c>
      <c r="T5" s="5" t="n">
        <v>1</v>
      </c>
      <c r="U5" s="4" t="n"/>
      <c r="V5" s="4" t="n"/>
      <c r="W5" s="5" t="n"/>
      <c r="X5" s="4" t="n">
        <v>6</v>
      </c>
      <c r="Y5" s="4" t="n">
        <v>164</v>
      </c>
      <c r="Z5" s="4" t="n">
        <v>164</v>
      </c>
    </row>
    <row r="6">
      <c r="A6" s="4" t="inlineStr">
        <is>
          <t>고진실</t>
        </is>
      </c>
      <c r="B6" s="4" t="n">
        <v>11</v>
      </c>
      <c r="C6" s="4" t="n">
        <v>0</v>
      </c>
      <c r="D6" s="4" t="n">
        <v>8</v>
      </c>
      <c r="E6" s="4" t="n">
        <v>8</v>
      </c>
      <c r="F6" s="4" t="n">
        <v>0</v>
      </c>
      <c r="G6" s="5" t="n">
        <v>1</v>
      </c>
      <c r="H6" s="5" t="n">
        <v>1.176470588235294</v>
      </c>
      <c r="I6" s="4" t="n">
        <v>0</v>
      </c>
      <c r="J6" s="4" t="n"/>
      <c r="K6" s="4" t="n"/>
      <c r="L6" s="5" t="n"/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5" t="n"/>
      <c r="U6" s="4" t="n"/>
      <c r="V6" s="4" t="n"/>
      <c r="W6" s="5" t="n"/>
      <c r="X6" s="4" t="n">
        <v>70</v>
      </c>
      <c r="Y6" s="4" t="n">
        <v>78</v>
      </c>
      <c r="Z6" s="4" t="n">
        <v>78</v>
      </c>
    </row>
    <row r="7">
      <c r="A7" s="4" t="inlineStr">
        <is>
          <t>곽진경</t>
        </is>
      </c>
      <c r="B7" s="4" t="n">
        <v>16</v>
      </c>
      <c r="C7" s="4" t="n">
        <v>0</v>
      </c>
      <c r="D7" s="4" t="n">
        <v>57</v>
      </c>
      <c r="E7" s="4" t="n">
        <v>57</v>
      </c>
      <c r="F7" s="4" t="n">
        <v>0</v>
      </c>
      <c r="G7" s="5" t="n">
        <v>1</v>
      </c>
      <c r="H7" s="5" t="n">
        <v>1.176470588235294</v>
      </c>
      <c r="I7" s="4" t="n">
        <v>0</v>
      </c>
      <c r="J7" s="4" t="n">
        <v>0</v>
      </c>
      <c r="K7" s="4" t="n">
        <v>0</v>
      </c>
      <c r="L7" s="5" t="n"/>
      <c r="M7" s="4" t="n">
        <v>0</v>
      </c>
      <c r="N7" s="4" t="n">
        <v>0</v>
      </c>
      <c r="O7" s="4" t="n">
        <v>0</v>
      </c>
      <c r="P7" s="4" t="n">
        <v>15</v>
      </c>
      <c r="Q7" s="4" t="n">
        <v>6</v>
      </c>
      <c r="R7" s="4" t="n">
        <v>31</v>
      </c>
      <c r="S7" s="4" t="n">
        <v>0</v>
      </c>
      <c r="T7" s="5" t="n">
        <v>1</v>
      </c>
      <c r="U7" s="4" t="n">
        <v>2</v>
      </c>
      <c r="V7" s="4" t="n">
        <v>2</v>
      </c>
      <c r="W7" s="5" t="n">
        <v>1</v>
      </c>
      <c r="X7" s="4" t="n">
        <v>0</v>
      </c>
      <c r="Y7" s="4" t="n">
        <v>88</v>
      </c>
      <c r="Z7" s="4" t="n">
        <v>88</v>
      </c>
    </row>
    <row r="8">
      <c r="A8" s="4" t="inlineStr">
        <is>
          <t>김어진</t>
        </is>
      </c>
      <c r="B8" s="4" t="n">
        <v>22</v>
      </c>
      <c r="C8" s="4" t="n">
        <v>1</v>
      </c>
      <c r="D8" s="4" t="n">
        <v>106</v>
      </c>
      <c r="E8" s="4" t="n">
        <v>106</v>
      </c>
      <c r="F8" s="4" t="n">
        <v>0</v>
      </c>
      <c r="G8" s="5" t="n">
        <v>1</v>
      </c>
      <c r="H8" s="5" t="n">
        <v>1.176470588235294</v>
      </c>
      <c r="I8" s="4" t="n">
        <v>3</v>
      </c>
      <c r="J8" s="4" t="n">
        <v>1</v>
      </c>
      <c r="K8" s="4" t="n">
        <v>0</v>
      </c>
      <c r="L8" s="5" t="n">
        <v>0</v>
      </c>
      <c r="M8" s="4" t="n">
        <v>15</v>
      </c>
      <c r="N8" s="4" t="n">
        <v>8</v>
      </c>
      <c r="O8" s="4" t="n">
        <v>15</v>
      </c>
      <c r="P8" s="4" t="n">
        <v>29</v>
      </c>
      <c r="Q8" s="4" t="n">
        <v>16</v>
      </c>
      <c r="R8" s="4" t="n">
        <v>64</v>
      </c>
      <c r="S8" s="4" t="n">
        <v>0</v>
      </c>
      <c r="T8" s="5" t="n">
        <v>1</v>
      </c>
      <c r="U8" s="4" t="n">
        <v>4</v>
      </c>
      <c r="V8" s="4" t="n">
        <v>4</v>
      </c>
      <c r="W8" s="5" t="n">
        <v>1</v>
      </c>
      <c r="X8" s="4" t="n">
        <v>0</v>
      </c>
      <c r="Y8" s="4" t="n">
        <v>188</v>
      </c>
      <c r="Z8" s="4" t="n">
        <v>188</v>
      </c>
    </row>
    <row r="9">
      <c r="A9" s="4" t="inlineStr">
        <is>
          <t>김유하</t>
        </is>
      </c>
      <c r="B9" s="4" t="n">
        <v>20</v>
      </c>
      <c r="C9" s="4" t="n">
        <v>3</v>
      </c>
      <c r="D9" s="4" t="n">
        <v>100</v>
      </c>
      <c r="E9" s="4" t="n">
        <v>100</v>
      </c>
      <c r="F9" s="4" t="n">
        <v>0</v>
      </c>
      <c r="G9" s="5" t="n">
        <v>1</v>
      </c>
      <c r="H9" s="5" t="n">
        <v>1.176470588235294</v>
      </c>
      <c r="I9" s="4" t="n">
        <v>0</v>
      </c>
      <c r="J9" s="4" t="n">
        <v>0</v>
      </c>
      <c r="K9" s="4" t="n">
        <v>0</v>
      </c>
      <c r="L9" s="5" t="n"/>
      <c r="M9" s="4" t="n">
        <v>12</v>
      </c>
      <c r="N9" s="4" t="n">
        <v>6</v>
      </c>
      <c r="O9" s="4" t="n">
        <v>12</v>
      </c>
      <c r="P9" s="4" t="n">
        <v>39</v>
      </c>
      <c r="Q9" s="4" t="n">
        <v>17</v>
      </c>
      <c r="R9" s="4" t="n">
        <v>83</v>
      </c>
      <c r="S9" s="4" t="n">
        <v>1</v>
      </c>
      <c r="T9" s="5" t="n">
        <v>0.9880952380952381</v>
      </c>
      <c r="U9" s="4" t="n">
        <v>3</v>
      </c>
      <c r="V9" s="4" t="n">
        <v>3</v>
      </c>
      <c r="W9" s="5" t="n">
        <v>1</v>
      </c>
      <c r="X9" s="4" t="n">
        <v>0</v>
      </c>
      <c r="Y9" s="4" t="n">
        <v>196</v>
      </c>
      <c r="Z9" s="4" t="n">
        <v>195</v>
      </c>
    </row>
    <row r="10">
      <c r="A10" s="4" t="inlineStr">
        <is>
          <t>김홍선</t>
        </is>
      </c>
      <c r="B10" s="4" t="n">
        <v>19</v>
      </c>
      <c r="C10" s="4" t="n">
        <v>0</v>
      </c>
      <c r="D10" s="4" t="n">
        <v>105</v>
      </c>
      <c r="E10" s="4" t="n">
        <v>105</v>
      </c>
      <c r="F10" s="4" t="n">
        <v>0</v>
      </c>
      <c r="G10" s="5" t="n">
        <v>1</v>
      </c>
      <c r="H10" s="5" t="n">
        <v>1.176470588235294</v>
      </c>
      <c r="I10" s="4" t="n">
        <v>0</v>
      </c>
      <c r="J10" s="4" t="n">
        <v>0</v>
      </c>
      <c r="K10" s="4" t="n">
        <v>0</v>
      </c>
      <c r="L10" s="5" t="n"/>
      <c r="M10" s="4" t="n">
        <v>8</v>
      </c>
      <c r="N10" s="4" t="n">
        <v>4</v>
      </c>
      <c r="O10" s="4" t="n">
        <v>8</v>
      </c>
      <c r="P10" s="4" t="n">
        <v>13</v>
      </c>
      <c r="Q10" s="4" t="n">
        <v>10</v>
      </c>
      <c r="R10" s="4" t="n">
        <v>30</v>
      </c>
      <c r="S10" s="4" t="n">
        <v>0</v>
      </c>
      <c r="T10" s="5" t="n">
        <v>1</v>
      </c>
      <c r="U10" s="4" t="n">
        <v>3</v>
      </c>
      <c r="V10" s="4" t="n">
        <v>3</v>
      </c>
      <c r="W10" s="5" t="n">
        <v>1</v>
      </c>
      <c r="X10" s="4" t="n">
        <v>21</v>
      </c>
      <c r="Y10" s="4" t="n">
        <v>164</v>
      </c>
      <c r="Z10" s="4" t="n">
        <v>164</v>
      </c>
    </row>
    <row r="11">
      <c r="A11" s="4" t="inlineStr">
        <is>
          <t>김희원</t>
        </is>
      </c>
      <c r="B11" s="4" t="n">
        <v>9</v>
      </c>
      <c r="C11" s="4" t="n">
        <v>1</v>
      </c>
      <c r="D11" s="4" t="n">
        <v>30</v>
      </c>
      <c r="E11" s="4" t="n">
        <v>30</v>
      </c>
      <c r="F11" s="4" t="n">
        <v>0</v>
      </c>
      <c r="G11" s="5" t="n">
        <v>1</v>
      </c>
      <c r="H11" s="5" t="n">
        <v>1.176470588235294</v>
      </c>
      <c r="I11" s="4" t="n">
        <v>0</v>
      </c>
      <c r="J11" s="4" t="n"/>
      <c r="K11" s="4" t="n"/>
      <c r="L11" s="5" t="n"/>
      <c r="M11" s="4" t="n">
        <v>0</v>
      </c>
      <c r="N11" s="4" t="n">
        <v>0</v>
      </c>
      <c r="O11" s="4" t="n">
        <v>0</v>
      </c>
      <c r="P11" s="4" t="n">
        <v>13</v>
      </c>
      <c r="Q11" s="4" t="n">
        <v>10</v>
      </c>
      <c r="R11" s="4" t="n">
        <v>23</v>
      </c>
      <c r="S11" s="4" t="n">
        <v>1</v>
      </c>
      <c r="T11" s="5" t="n">
        <v>0.9583333333333334</v>
      </c>
      <c r="U11" s="4" t="n">
        <v>2</v>
      </c>
      <c r="V11" s="4" t="n">
        <v>2</v>
      </c>
      <c r="W11" s="5" t="n">
        <v>1</v>
      </c>
      <c r="X11" s="4" t="n">
        <v>0</v>
      </c>
      <c r="Y11" s="4" t="n">
        <v>54</v>
      </c>
      <c r="Z11" s="4" t="n">
        <v>53</v>
      </c>
    </row>
    <row r="12">
      <c r="A12" s="4" t="inlineStr">
        <is>
          <t>박은슬</t>
        </is>
      </c>
      <c r="B12" s="4" t="n">
        <v>5</v>
      </c>
      <c r="C12" s="4" t="n">
        <v>0</v>
      </c>
      <c r="D12" s="4" t="n">
        <v>27</v>
      </c>
      <c r="E12" s="4" t="n">
        <v>27</v>
      </c>
      <c r="F12" s="4" t="n">
        <v>0</v>
      </c>
      <c r="G12" s="5" t="n">
        <v>1</v>
      </c>
      <c r="H12" s="5" t="n">
        <v>1.176470588235294</v>
      </c>
      <c r="I12" s="4" t="n">
        <v>0</v>
      </c>
      <c r="J12" s="4" t="n"/>
      <c r="K12" s="4" t="n"/>
      <c r="L12" s="5" t="n"/>
      <c r="M12" s="4" t="n">
        <v>0</v>
      </c>
      <c r="N12" s="4" t="n">
        <v>0</v>
      </c>
      <c r="O12" s="4" t="n">
        <v>0</v>
      </c>
      <c r="P12" s="4" t="n">
        <v>21</v>
      </c>
      <c r="Q12" s="4" t="n">
        <v>9</v>
      </c>
      <c r="R12" s="4" t="n">
        <v>36</v>
      </c>
      <c r="S12" s="4" t="n">
        <v>1</v>
      </c>
      <c r="T12" s="5" t="n">
        <v>0.972972972972973</v>
      </c>
      <c r="U12" s="4" t="n">
        <v>1</v>
      </c>
      <c r="V12" s="4" t="n">
        <v>1</v>
      </c>
      <c r="W12" s="5" t="n">
        <v>1</v>
      </c>
      <c r="X12" s="4" t="n">
        <v>13</v>
      </c>
      <c r="Y12" s="4" t="n">
        <v>77</v>
      </c>
      <c r="Z12" s="4" t="n">
        <v>76</v>
      </c>
    </row>
    <row r="13">
      <c r="A13" s="4" t="inlineStr">
        <is>
          <t>신효선</t>
        </is>
      </c>
      <c r="B13" s="4" t="n">
        <v>19</v>
      </c>
      <c r="C13" s="4" t="n">
        <v>2</v>
      </c>
      <c r="D13" s="4" t="n">
        <v>94</v>
      </c>
      <c r="E13" s="4" t="n">
        <v>94</v>
      </c>
      <c r="F13" s="4" t="n">
        <v>0</v>
      </c>
      <c r="G13" s="5" t="n">
        <v>1</v>
      </c>
      <c r="H13" s="5" t="n">
        <v>1.176470588235294</v>
      </c>
      <c r="I13" s="4" t="n">
        <v>1</v>
      </c>
      <c r="J13" s="4" t="n">
        <v>0</v>
      </c>
      <c r="K13" s="4" t="n">
        <v>0</v>
      </c>
      <c r="L13" s="5" t="n"/>
      <c r="M13" s="4" t="n">
        <v>0</v>
      </c>
      <c r="N13" s="4" t="n">
        <v>0</v>
      </c>
      <c r="O13" s="4" t="n">
        <v>0</v>
      </c>
      <c r="P13" s="4" t="n">
        <v>16</v>
      </c>
      <c r="Q13" s="4" t="n">
        <v>9</v>
      </c>
      <c r="R13" s="4" t="n">
        <v>34</v>
      </c>
      <c r="S13" s="4" t="n">
        <v>1</v>
      </c>
      <c r="T13" s="5" t="n">
        <v>0.9714285714285714</v>
      </c>
      <c r="U13" s="4" t="n">
        <v>3</v>
      </c>
      <c r="V13" s="4" t="n">
        <v>2</v>
      </c>
      <c r="W13" s="5" t="n">
        <v>0.6666666666666666</v>
      </c>
      <c r="X13" s="4" t="n">
        <v>22</v>
      </c>
      <c r="Y13" s="4" t="n">
        <v>152</v>
      </c>
      <c r="Z13" s="4" t="n">
        <v>151</v>
      </c>
    </row>
    <row r="14">
      <c r="A14" s="4" t="inlineStr">
        <is>
          <t>이송연</t>
        </is>
      </c>
      <c r="B14" s="4" t="n">
        <v>11</v>
      </c>
      <c r="C14" s="4" t="n">
        <v>0</v>
      </c>
      <c r="D14" s="4" t="n">
        <v>28</v>
      </c>
      <c r="E14" s="4" t="n">
        <v>28</v>
      </c>
      <c r="F14" s="4" t="n">
        <v>0</v>
      </c>
      <c r="G14" s="5" t="n">
        <v>1</v>
      </c>
      <c r="H14" s="5" t="n">
        <v>1.176470588235294</v>
      </c>
      <c r="I14" s="4" t="n">
        <v>0</v>
      </c>
      <c r="J14" s="4" t="n">
        <v>0</v>
      </c>
      <c r="K14" s="4" t="n">
        <v>0</v>
      </c>
      <c r="L14" s="5" t="n"/>
      <c r="M14" s="4" t="n">
        <v>8</v>
      </c>
      <c r="N14" s="4" t="n">
        <v>4</v>
      </c>
      <c r="O14" s="4" t="n">
        <v>8</v>
      </c>
      <c r="P14" s="4" t="n">
        <v>40</v>
      </c>
      <c r="Q14" s="4" t="n">
        <v>18</v>
      </c>
      <c r="R14" s="4" t="n">
        <v>61</v>
      </c>
      <c r="S14" s="4" t="n">
        <v>5</v>
      </c>
      <c r="T14" s="5" t="n">
        <v>0.9242424242424242</v>
      </c>
      <c r="U14" s="4" t="n"/>
      <c r="V14" s="4" t="n"/>
      <c r="W14" s="5" t="n"/>
      <c r="X14" s="4" t="n">
        <v>0</v>
      </c>
      <c r="Y14" s="4" t="n">
        <v>102</v>
      </c>
      <c r="Z14" s="4" t="n">
        <v>97</v>
      </c>
    </row>
    <row r="15">
      <c r="A15" s="4" t="inlineStr">
        <is>
          <t>이수민</t>
        </is>
      </c>
      <c r="B15" s="4" t="n">
        <v>22</v>
      </c>
      <c r="C15" s="4" t="n">
        <v>0</v>
      </c>
      <c r="D15" s="4" t="n">
        <v>94</v>
      </c>
      <c r="E15" s="4" t="n">
        <v>94</v>
      </c>
      <c r="F15" s="4" t="n">
        <v>0</v>
      </c>
      <c r="G15" s="5" t="n">
        <v>1</v>
      </c>
      <c r="H15" s="5" t="n">
        <v>1.176470588235294</v>
      </c>
      <c r="I15" s="4" t="n">
        <v>1</v>
      </c>
      <c r="J15" s="4" t="n"/>
      <c r="K15" s="4" t="n"/>
      <c r="L15" s="5" t="n"/>
      <c r="M15" s="4" t="n">
        <v>12</v>
      </c>
      <c r="N15" s="4" t="n">
        <v>6</v>
      </c>
      <c r="O15" s="4" t="n">
        <v>12</v>
      </c>
      <c r="P15" s="4" t="n">
        <v>26</v>
      </c>
      <c r="Q15" s="4" t="n">
        <v>15</v>
      </c>
      <c r="R15" s="4" t="n">
        <v>60</v>
      </c>
      <c r="S15" s="4" t="n">
        <v>0</v>
      </c>
      <c r="T15" s="5" t="n">
        <v>1</v>
      </c>
      <c r="U15" s="4" t="n">
        <v>7</v>
      </c>
      <c r="V15" s="4" t="n">
        <v>6</v>
      </c>
      <c r="W15" s="5" t="n">
        <v>0.8571428571428571</v>
      </c>
      <c r="X15" s="4" t="n">
        <v>0</v>
      </c>
      <c r="Y15" s="4" t="n">
        <v>167</v>
      </c>
      <c r="Z15" s="4" t="n">
        <v>167</v>
      </c>
    </row>
    <row r="16">
      <c r="A16" s="4" t="inlineStr">
        <is>
          <t>이윤희</t>
        </is>
      </c>
      <c r="B16" s="4" t="n">
        <v>4</v>
      </c>
      <c r="C16" s="4" t="n">
        <v>0</v>
      </c>
      <c r="D16" s="4" t="n">
        <v>6</v>
      </c>
      <c r="E16" s="4" t="n">
        <v>6</v>
      </c>
      <c r="F16" s="4" t="n">
        <v>0</v>
      </c>
      <c r="G16" s="5" t="n">
        <v>1</v>
      </c>
      <c r="H16" s="5" t="n">
        <v>1.176470588235294</v>
      </c>
      <c r="I16" s="4" t="n">
        <v>0</v>
      </c>
      <c r="J16" s="4" t="n">
        <v>0</v>
      </c>
      <c r="K16" s="4" t="n">
        <v>0</v>
      </c>
      <c r="L16" s="5" t="n"/>
      <c r="M16" s="4" t="n">
        <v>6</v>
      </c>
      <c r="N16" s="4" t="n">
        <v>3</v>
      </c>
      <c r="O16" s="4" t="n">
        <v>6</v>
      </c>
      <c r="P16" s="4" t="n">
        <v>27</v>
      </c>
      <c r="Q16" s="4" t="n">
        <v>8</v>
      </c>
      <c r="R16" s="4" t="n">
        <v>29</v>
      </c>
      <c r="S16" s="4" t="n">
        <v>0</v>
      </c>
      <c r="T16" s="5" t="n">
        <v>1</v>
      </c>
      <c r="U16" s="4" t="n">
        <v>0</v>
      </c>
      <c r="V16" s="4" t="n">
        <v>0</v>
      </c>
      <c r="W16" s="5" t="n"/>
      <c r="X16" s="4" t="n">
        <v>0</v>
      </c>
      <c r="Y16" s="4" t="n">
        <v>41</v>
      </c>
      <c r="Z16" s="4" t="n">
        <v>41</v>
      </c>
    </row>
    <row r="17">
      <c r="A17" s="4" t="inlineStr">
        <is>
          <t>장연우</t>
        </is>
      </c>
      <c r="B17" s="4" t="n"/>
      <c r="C17" s="4" t="n"/>
      <c r="D17" s="4" t="n">
        <v>0</v>
      </c>
      <c r="E17" s="4" t="n">
        <v>0</v>
      </c>
      <c r="F17" s="4" t="n">
        <v>0</v>
      </c>
      <c r="G17" s="5" t="n"/>
      <c r="H17" s="5" t="n"/>
      <c r="I17" s="4" t="n">
        <v>0</v>
      </c>
      <c r="J17" s="4" t="n"/>
      <c r="K17" s="4" t="n"/>
      <c r="L17" s="5" t="n"/>
      <c r="M17" s="4" t="n">
        <v>0</v>
      </c>
      <c r="N17" s="4" t="n">
        <v>0</v>
      </c>
      <c r="O17" s="4" t="n">
        <v>0</v>
      </c>
      <c r="P17" s="4" t="n">
        <v>11</v>
      </c>
      <c r="Q17" s="4" t="n">
        <v>3</v>
      </c>
      <c r="R17" s="4" t="n">
        <v>14</v>
      </c>
      <c r="S17" s="4" t="n">
        <v>0</v>
      </c>
      <c r="T17" s="5" t="n">
        <v>1</v>
      </c>
      <c r="U17" s="4" t="n"/>
      <c r="V17" s="4" t="n"/>
      <c r="W17" s="5" t="n"/>
      <c r="X17" s="4" t="n">
        <v>0</v>
      </c>
      <c r="Y17" s="4" t="n">
        <v>14</v>
      </c>
      <c r="Z17" s="4" t="n">
        <v>14</v>
      </c>
    </row>
    <row r="18">
      <c r="A18" s="4" t="inlineStr">
        <is>
          <t>정유정</t>
        </is>
      </c>
      <c r="B18" s="4" t="n">
        <v>3</v>
      </c>
      <c r="C18" s="4" t="n">
        <v>0</v>
      </c>
      <c r="D18" s="4" t="n">
        <v>9</v>
      </c>
      <c r="E18" s="4" t="n">
        <v>9</v>
      </c>
      <c r="F18" s="4" t="n">
        <v>0</v>
      </c>
      <c r="G18" s="5" t="n">
        <v>1</v>
      </c>
      <c r="H18" s="5" t="n">
        <v>1.176470588235294</v>
      </c>
      <c r="I18" s="4" t="n">
        <v>0</v>
      </c>
      <c r="J18" s="4" t="n"/>
      <c r="K18" s="4" t="n"/>
      <c r="L18" s="5" t="n"/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5" t="n"/>
      <c r="U18" s="4" t="n">
        <v>1</v>
      </c>
      <c r="V18" s="4" t="n">
        <v>1</v>
      </c>
      <c r="W18" s="5" t="n">
        <v>1</v>
      </c>
      <c r="X18" s="4" t="n">
        <v>0</v>
      </c>
      <c r="Y18" s="4" t="n">
        <v>9</v>
      </c>
      <c r="Z18" s="4" t="n">
        <v>9</v>
      </c>
    </row>
    <row r="19">
      <c r="A19" s="4" t="inlineStr">
        <is>
          <t>조수진</t>
        </is>
      </c>
      <c r="B19" s="4" t="n">
        <v>14</v>
      </c>
      <c r="C19" s="4" t="n">
        <v>1</v>
      </c>
      <c r="D19" s="4" t="n">
        <v>72</v>
      </c>
      <c r="E19" s="4" t="n">
        <v>72</v>
      </c>
      <c r="F19" s="4" t="n">
        <v>0</v>
      </c>
      <c r="G19" s="5" t="n">
        <v>1</v>
      </c>
      <c r="H19" s="5" t="n">
        <v>1.176470588235294</v>
      </c>
      <c r="I19" s="4" t="n">
        <v>2</v>
      </c>
      <c r="J19" s="4" t="n">
        <v>2</v>
      </c>
      <c r="K19" s="4" t="n">
        <v>2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15</v>
      </c>
      <c r="Q19" s="4" t="n">
        <v>12</v>
      </c>
      <c r="R19" s="4" t="n">
        <v>35</v>
      </c>
      <c r="S19" s="4" t="n">
        <v>0</v>
      </c>
      <c r="T19" s="5" t="n">
        <v>1</v>
      </c>
      <c r="U19" s="4" t="n">
        <v>3</v>
      </c>
      <c r="V19" s="4" t="n">
        <v>3</v>
      </c>
      <c r="W19" s="5" t="n">
        <v>1</v>
      </c>
      <c r="X19" s="4" t="n">
        <v>2</v>
      </c>
      <c r="Y19" s="4" t="n">
        <v>111</v>
      </c>
      <c r="Z19" s="4" t="n">
        <v>111</v>
      </c>
    </row>
    <row r="20">
      <c r="A20" s="4" t="inlineStr">
        <is>
          <t>조윤정</t>
        </is>
      </c>
      <c r="B20" s="4" t="n">
        <v>13</v>
      </c>
      <c r="C20" s="4" t="n">
        <v>0</v>
      </c>
      <c r="D20" s="4" t="n">
        <v>42</v>
      </c>
      <c r="E20" s="4" t="n">
        <v>40</v>
      </c>
      <c r="F20" s="4" t="n">
        <v>2</v>
      </c>
      <c r="G20" s="5" t="n">
        <v>0.9523809523809523</v>
      </c>
      <c r="H20" s="5" t="n">
        <v>1.120448179271709</v>
      </c>
      <c r="I20" s="4" t="n">
        <v>1</v>
      </c>
      <c r="J20" s="4" t="n">
        <v>1</v>
      </c>
      <c r="K20" s="4" t="n">
        <v>0</v>
      </c>
      <c r="L20" s="5" t="n">
        <v>0</v>
      </c>
      <c r="M20" s="4" t="n">
        <v>0</v>
      </c>
      <c r="N20" s="4" t="n">
        <v>0</v>
      </c>
      <c r="O20" s="4" t="n">
        <v>0</v>
      </c>
      <c r="P20" s="4" t="n">
        <v>36</v>
      </c>
      <c r="Q20" s="4" t="n">
        <v>11</v>
      </c>
      <c r="R20" s="4" t="n">
        <v>60</v>
      </c>
      <c r="S20" s="4" t="n">
        <v>4</v>
      </c>
      <c r="T20" s="5" t="n">
        <v>0.9375</v>
      </c>
      <c r="U20" s="4" t="n">
        <v>2</v>
      </c>
      <c r="V20" s="4" t="n">
        <v>1</v>
      </c>
      <c r="W20" s="5" t="n">
        <v>0.5</v>
      </c>
      <c r="X20" s="4" t="n">
        <v>0</v>
      </c>
      <c r="Y20" s="4" t="n">
        <v>107</v>
      </c>
      <c r="Z20" s="4" t="n">
        <v>101</v>
      </c>
    </row>
    <row r="21">
      <c r="A21" s="4" t="inlineStr">
        <is>
          <t>최지은</t>
        </is>
      </c>
      <c r="B21" s="4" t="n">
        <v>5</v>
      </c>
      <c r="C21" s="4" t="n">
        <v>2</v>
      </c>
      <c r="D21" s="4" t="n">
        <v>13</v>
      </c>
      <c r="E21" s="4" t="n">
        <v>13</v>
      </c>
      <c r="F21" s="4" t="n">
        <v>0</v>
      </c>
      <c r="G21" s="5" t="n">
        <v>1</v>
      </c>
      <c r="H21" s="5" t="n">
        <v>1.176470588235294</v>
      </c>
      <c r="I21" s="4" t="n">
        <v>0</v>
      </c>
      <c r="J21" s="4" t="n"/>
      <c r="K21" s="4" t="n"/>
      <c r="L21" s="5" t="n"/>
      <c r="M21" s="4" t="n">
        <v>0</v>
      </c>
      <c r="N21" s="4" t="n">
        <v>0</v>
      </c>
      <c r="O21" s="4" t="n">
        <v>0</v>
      </c>
      <c r="P21" s="4" t="n">
        <v>15</v>
      </c>
      <c r="Q21" s="4" t="n">
        <v>9</v>
      </c>
      <c r="R21" s="4" t="n">
        <v>38</v>
      </c>
      <c r="S21" s="4" t="n">
        <v>0</v>
      </c>
      <c r="T21" s="5" t="n">
        <v>1</v>
      </c>
      <c r="U21" s="4" t="n">
        <v>1</v>
      </c>
      <c r="V21" s="4" t="n"/>
      <c r="W21" s="5" t="n"/>
      <c r="X21" s="4" t="n">
        <v>0</v>
      </c>
      <c r="Y21" s="4" t="n">
        <v>51</v>
      </c>
      <c r="Z21" s="4" t="n">
        <v>51</v>
      </c>
    </row>
    <row r="22">
      <c r="A22" s="4" t="inlineStr">
        <is>
          <t>한진주</t>
        </is>
      </c>
      <c r="B22" s="4" t="n">
        <v>0</v>
      </c>
      <c r="C22" s="4" t="n">
        <v>0</v>
      </c>
      <c r="D22" s="4" t="n">
        <v>8</v>
      </c>
      <c r="E22" s="4" t="n">
        <v>8</v>
      </c>
      <c r="F22" s="4" t="n">
        <v>0</v>
      </c>
      <c r="G22" s="5" t="n">
        <v>1</v>
      </c>
      <c r="H22" s="5" t="n">
        <v>1.176470588235294</v>
      </c>
      <c r="I22" s="4" t="n">
        <v>0</v>
      </c>
      <c r="J22" s="4" t="n"/>
      <c r="K22" s="4" t="n"/>
      <c r="L22" s="5" t="n"/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/>
      <c r="U22" s="4" t="n"/>
      <c r="V22" s="4" t="n"/>
      <c r="W22" s="5" t="n"/>
      <c r="X22" s="4" t="n">
        <v>4</v>
      </c>
      <c r="Y22" s="4" t="n">
        <v>12</v>
      </c>
      <c r="Z22" s="4" t="n">
        <v>10</v>
      </c>
    </row>
    <row r="23">
      <c r="A23" s="4" t="inlineStr">
        <is>
          <t>허다연</t>
        </is>
      </c>
      <c r="B23" s="4" t="n">
        <v>19</v>
      </c>
      <c r="C23" s="4" t="n">
        <v>1</v>
      </c>
      <c r="D23" s="4" t="n">
        <v>86</v>
      </c>
      <c r="E23" s="4" t="n">
        <v>85</v>
      </c>
      <c r="F23" s="4" t="n">
        <v>1</v>
      </c>
      <c r="G23" s="5" t="n">
        <v>0.9883720930232558</v>
      </c>
      <c r="H23" s="5" t="n">
        <v>1.162790697674419</v>
      </c>
      <c r="I23" s="4" t="n">
        <v>3</v>
      </c>
      <c r="J23" s="4" t="n">
        <v>0</v>
      </c>
      <c r="K23" s="4" t="n">
        <v>0</v>
      </c>
      <c r="L23" s="5" t="n"/>
      <c r="M23" s="4" t="n">
        <v>0</v>
      </c>
      <c r="N23" s="4" t="n">
        <v>0</v>
      </c>
      <c r="O23" s="4" t="n">
        <v>0</v>
      </c>
      <c r="P23" s="4" t="n">
        <v>36</v>
      </c>
      <c r="Q23" s="4" t="n">
        <v>20</v>
      </c>
      <c r="R23" s="4" t="n">
        <v>64</v>
      </c>
      <c r="S23" s="4" t="n">
        <v>4</v>
      </c>
      <c r="T23" s="5" t="n">
        <v>0.9411764705882353</v>
      </c>
      <c r="U23" s="4" t="n">
        <v>1</v>
      </c>
      <c r="V23" s="4" t="n">
        <v>1</v>
      </c>
      <c r="W23" s="5" t="n">
        <v>1</v>
      </c>
      <c r="X23" s="4" t="n">
        <v>18</v>
      </c>
      <c r="Y23" s="4" t="n">
        <v>175</v>
      </c>
      <c r="Z23" s="4" t="n">
        <v>170</v>
      </c>
    </row>
    <row r="24">
      <c r="A24" s="4" t="inlineStr">
        <is>
          <t>현미란</t>
        </is>
      </c>
      <c r="B24" s="4" t="n">
        <v>5</v>
      </c>
      <c r="C24" s="4" t="n">
        <v>1</v>
      </c>
      <c r="D24" s="4" t="n">
        <v>16</v>
      </c>
      <c r="E24" s="4" t="n">
        <v>16</v>
      </c>
      <c r="F24" s="4" t="n">
        <v>0</v>
      </c>
      <c r="G24" s="5" t="n">
        <v>1</v>
      </c>
      <c r="H24" s="5" t="n">
        <v>1.176470588235294</v>
      </c>
      <c r="I24" s="4" t="n">
        <v>0</v>
      </c>
      <c r="J24" s="4" t="n">
        <v>0</v>
      </c>
      <c r="K24" s="4" t="n">
        <v>0</v>
      </c>
      <c r="L24" s="5" t="n"/>
      <c r="M24" s="4" t="n">
        <v>0</v>
      </c>
      <c r="N24" s="4" t="n">
        <v>0</v>
      </c>
      <c r="O24" s="4" t="n">
        <v>0</v>
      </c>
      <c r="P24" s="4" t="n">
        <v>21</v>
      </c>
      <c r="Q24" s="4" t="n">
        <v>12</v>
      </c>
      <c r="R24" s="4" t="n">
        <v>31</v>
      </c>
      <c r="S24" s="4" t="n">
        <v>0</v>
      </c>
      <c r="T24" s="5" t="n">
        <v>1</v>
      </c>
      <c r="U24" s="4" t="n">
        <v>1</v>
      </c>
      <c r="V24" s="4" t="n">
        <v>1</v>
      </c>
      <c r="W24" s="5" t="n">
        <v>1</v>
      </c>
      <c r="X24" s="4" t="n">
        <v>18</v>
      </c>
      <c r="Y24" s="4" t="n">
        <v>65</v>
      </c>
      <c r="Z24" s="4" t="n">
        <v>65</v>
      </c>
    </row>
    <row r="25">
      <c r="A25" s="6" t="inlineStr">
        <is>
          <t>합계</t>
        </is>
      </c>
      <c r="B25" s="6">
        <f>SUM(B5:B24)</f>
        <v/>
      </c>
      <c r="C25" s="6">
        <f>SUM(C5:C24)</f>
        <v/>
      </c>
      <c r="D25" s="6">
        <f>SUM(D5:D24)</f>
        <v/>
      </c>
      <c r="E25" s="6">
        <f>SUM(E5:E24)</f>
        <v/>
      </c>
      <c r="F25" s="6">
        <f>SUM(F5:F24)</f>
        <v/>
      </c>
      <c r="G25" s="7">
        <f>AVERAGE(G5:G24)</f>
        <v/>
      </c>
      <c r="H25" s="7">
        <f>AVERAGE(H5:H24)</f>
        <v/>
      </c>
      <c r="I25" s="6">
        <f>SUM(I5:I24)</f>
        <v/>
      </c>
      <c r="J25" s="6">
        <f>SUM(J5:J24)</f>
        <v/>
      </c>
      <c r="K25" s="6">
        <f>SUM(K5:K24)</f>
        <v/>
      </c>
      <c r="L25" s="7">
        <f>AVERAGE(L5:L24)</f>
        <v/>
      </c>
      <c r="M25" s="6">
        <f>SUM(M5:M24)</f>
        <v/>
      </c>
      <c r="N25" s="6">
        <f>SUM(N5:N24)</f>
        <v/>
      </c>
      <c r="O25" s="6">
        <f>SUM(O5:O24)</f>
        <v/>
      </c>
      <c r="P25" s="6">
        <f>SUM(P5:P24)</f>
        <v/>
      </c>
      <c r="Q25" s="6">
        <f>SUM(Q5:Q24)</f>
        <v/>
      </c>
      <c r="R25" s="6">
        <f>SUM(R5:R24)</f>
        <v/>
      </c>
      <c r="S25" s="6">
        <f>SUM(S5:S24)</f>
        <v/>
      </c>
      <c r="T25" s="7">
        <f>AVERAGE(T5:T24)</f>
        <v/>
      </c>
      <c r="U25" s="6">
        <f>SUM(U5:U24)</f>
        <v/>
      </c>
      <c r="V25" s="6">
        <f>SUM(V5:V24)</f>
        <v/>
      </c>
      <c r="W25" s="7">
        <f>AVERAGE(W5:W24)</f>
        <v/>
      </c>
      <c r="X25" s="6">
        <f>SUM(X5:X24)</f>
        <v/>
      </c>
      <c r="Y25" s="6">
        <f>SUM(Y5:Y24)</f>
        <v/>
      </c>
      <c r="Z25" s="6">
        <f>SUM(Z5:Z24)</f>
        <v/>
      </c>
    </row>
  </sheetData>
  <mergeCells count="8">
    <mergeCell ref="P3:T3"/>
    <mergeCell ref="A1:Z1"/>
    <mergeCell ref="B3:C3"/>
    <mergeCell ref="I3:L3"/>
    <mergeCell ref="Y3:Z3"/>
    <mergeCell ref="M3:O3"/>
    <mergeCell ref="U3:W3"/>
    <mergeCell ref="D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TRNT 필라테스 - 2월 강사별 레슨 리포트</t>
        </is>
      </c>
    </row>
    <row r="3">
      <c r="A3" s="2" t="inlineStr"/>
      <c r="B3" s="2" t="inlineStr">
        <is>
          <t>노션 제출 데이터</t>
        </is>
      </c>
      <c r="C3" s="18" t="n"/>
      <c r="D3" s="2" t="inlineStr">
        <is>
          <t>개인 레슨</t>
        </is>
      </c>
      <c r="E3" s="19" t="n"/>
      <c r="F3" s="19" t="n"/>
      <c r="G3" s="19" t="n"/>
      <c r="H3" s="18" t="n"/>
      <c r="I3" s="2" t="inlineStr">
        <is>
          <t>체험(OT)</t>
        </is>
      </c>
      <c r="J3" s="19" t="n"/>
      <c r="K3" s="19" t="n"/>
      <c r="L3" s="18" t="n"/>
      <c r="M3" s="2" t="inlineStr">
        <is>
          <t>듀엣 레슨</t>
        </is>
      </c>
      <c r="N3" s="19" t="n"/>
      <c r="O3" s="18" t="n"/>
      <c r="P3" s="2" t="inlineStr">
        <is>
          <t>그룹 레슨</t>
        </is>
      </c>
      <c r="Q3" s="19" t="n"/>
      <c r="R3" s="19" t="n"/>
      <c r="S3" s="19" t="n"/>
      <c r="T3" s="18" t="n"/>
      <c r="U3" s="2" t="inlineStr">
        <is>
          <t>재등록</t>
        </is>
      </c>
      <c r="V3" s="19" t="n"/>
      <c r="W3" s="18" t="n"/>
      <c r="X3" s="2" t="inlineStr">
        <is>
          <t>아카데미</t>
        </is>
      </c>
      <c r="Y3" s="2" t="inlineStr">
        <is>
          <t>종합</t>
        </is>
      </c>
      <c r="Z3" s="18" t="n"/>
    </row>
    <row r="4">
      <c r="A4" s="3" t="inlineStr">
        <is>
          <t>강사</t>
        </is>
      </c>
      <c r="B4" s="3" t="inlineStr">
        <is>
          <t>전체고객수</t>
        </is>
      </c>
      <c r="C4" s="3" t="inlineStr">
        <is>
          <t>홀딩고객수</t>
        </is>
      </c>
      <c r="D4" s="3" t="inlineStr">
        <is>
          <t>개인수업수</t>
        </is>
      </c>
      <c r="E4" s="3" t="inlineStr">
        <is>
          <t>개인출석수</t>
        </is>
      </c>
      <c r="F4" s="3" t="inlineStr">
        <is>
          <t>개인결석수</t>
        </is>
      </c>
      <c r="G4" s="3" t="inlineStr">
        <is>
          <t>개인출석율</t>
        </is>
      </c>
      <c r="H4" s="3" t="inlineStr">
        <is>
          <t>출석율목표달성</t>
        </is>
      </c>
      <c r="I4" s="3" t="inlineStr">
        <is>
          <t>개인체험(OT)</t>
        </is>
      </c>
      <c r="J4" s="3" t="inlineStr">
        <is>
          <t>체험수업수</t>
        </is>
      </c>
      <c r="K4" s="3" t="inlineStr">
        <is>
          <t>체험등록수</t>
        </is>
      </c>
      <c r="L4" s="3" t="inlineStr">
        <is>
          <t>체험등록율</t>
        </is>
      </c>
      <c r="M4" s="3" t="inlineStr">
        <is>
          <t>듀엣회원수</t>
        </is>
      </c>
      <c r="N4" s="3" t="inlineStr">
        <is>
          <t>듀엣수업수</t>
        </is>
      </c>
      <c r="O4" s="3" t="inlineStr">
        <is>
          <t>듀엣출석수</t>
        </is>
      </c>
      <c r="P4" s="3" t="inlineStr">
        <is>
          <t>그룹회원수</t>
        </is>
      </c>
      <c r="Q4" s="3" t="inlineStr">
        <is>
          <t>그룹수업수</t>
        </is>
      </c>
      <c r="R4" s="3" t="inlineStr">
        <is>
          <t>그룹출석수</t>
        </is>
      </c>
      <c r="S4" s="3" t="inlineStr">
        <is>
          <t>그룹결석수</t>
        </is>
      </c>
      <c r="T4" s="3" t="inlineStr">
        <is>
          <t>그룹출석율</t>
        </is>
      </c>
      <c r="U4" s="3" t="inlineStr">
        <is>
          <t>재등예정수</t>
        </is>
      </c>
      <c r="V4" s="3" t="inlineStr">
        <is>
          <t>재등완료수</t>
        </is>
      </c>
      <c r="W4" s="3" t="inlineStr">
        <is>
          <t>재등록률</t>
        </is>
      </c>
      <c r="X4" s="3" t="inlineStr">
        <is>
          <t>아카데미</t>
        </is>
      </c>
      <c r="Y4" s="3" t="inlineStr">
        <is>
          <t>총수업수</t>
        </is>
      </c>
      <c r="Z4" s="3" t="inlineStr">
        <is>
          <t>총출석수</t>
        </is>
      </c>
    </row>
    <row r="5">
      <c r="A5" s="4" t="inlineStr">
        <is>
          <t>강다감</t>
        </is>
      </c>
      <c r="B5" s="4" t="n"/>
      <c r="C5" s="4" t="n"/>
      <c r="D5" s="4" t="n">
        <v>78</v>
      </c>
      <c r="E5" s="4" t="n">
        <v>78</v>
      </c>
      <c r="F5" s="4" t="n">
        <v>0</v>
      </c>
      <c r="G5" s="5" t="n">
        <v>1</v>
      </c>
      <c r="H5" s="5" t="n">
        <v>1.176470588235294</v>
      </c>
      <c r="I5" s="4" t="n">
        <v>0</v>
      </c>
      <c r="J5" s="4" t="n"/>
      <c r="K5" s="4" t="n"/>
      <c r="L5" s="5" t="n"/>
      <c r="M5" s="4" t="n">
        <v>4</v>
      </c>
      <c r="N5" s="4" t="n">
        <v>2</v>
      </c>
      <c r="O5" s="4" t="n">
        <v>4</v>
      </c>
      <c r="P5" s="4" t="n">
        <v>7</v>
      </c>
      <c r="Q5" s="4" t="n">
        <v>5</v>
      </c>
      <c r="R5" s="4" t="n">
        <v>16</v>
      </c>
      <c r="S5" s="4" t="n">
        <v>0</v>
      </c>
      <c r="T5" s="5" t="n">
        <v>1</v>
      </c>
      <c r="U5" s="4" t="n"/>
      <c r="V5" s="4" t="n"/>
      <c r="W5" s="5" t="n"/>
      <c r="X5" s="4" t="n">
        <v>30</v>
      </c>
      <c r="Y5" s="4" t="n">
        <v>128</v>
      </c>
      <c r="Z5" s="4" t="n">
        <v>128</v>
      </c>
    </row>
    <row r="6">
      <c r="A6" s="4" t="inlineStr">
        <is>
          <t>고진실</t>
        </is>
      </c>
      <c r="B6" s="4" t="n">
        <v>11</v>
      </c>
      <c r="C6" s="4" t="n">
        <v>0</v>
      </c>
      <c r="D6" s="4" t="n">
        <v>41</v>
      </c>
      <c r="E6" s="4" t="n">
        <v>40</v>
      </c>
      <c r="F6" s="4" t="n">
        <v>1</v>
      </c>
      <c r="G6" s="5" t="n">
        <v>0.975609756097561</v>
      </c>
      <c r="H6" s="5" t="n">
        <v>1.147776183644189</v>
      </c>
      <c r="I6" s="4" t="n">
        <v>0</v>
      </c>
      <c r="J6" s="4" t="n"/>
      <c r="K6" s="4" t="n"/>
      <c r="L6" s="5" t="n"/>
      <c r="M6" s="4" t="n">
        <v>0</v>
      </c>
      <c r="N6" s="4" t="n">
        <v>0</v>
      </c>
      <c r="O6" s="4" t="n">
        <v>0</v>
      </c>
      <c r="P6" s="4" t="n">
        <v>24</v>
      </c>
      <c r="Q6" s="4" t="n">
        <v>8</v>
      </c>
      <c r="R6" s="4" t="n">
        <v>40</v>
      </c>
      <c r="S6" s="4" t="n">
        <v>1</v>
      </c>
      <c r="T6" s="5" t="n">
        <v>0.975609756097561</v>
      </c>
      <c r="U6" s="4" t="n"/>
      <c r="V6" s="4" t="n"/>
      <c r="W6" s="5" t="n"/>
      <c r="X6" s="4" t="n">
        <v>96</v>
      </c>
      <c r="Y6" s="4" t="n">
        <v>178</v>
      </c>
      <c r="Z6" s="4" t="n">
        <v>176</v>
      </c>
    </row>
    <row r="7">
      <c r="A7" s="4" t="inlineStr">
        <is>
          <t>곽진경</t>
        </is>
      </c>
      <c r="B7" s="4" t="n">
        <v>16</v>
      </c>
      <c r="C7" s="4" t="n">
        <v>0</v>
      </c>
      <c r="D7" s="4" t="n">
        <v>68</v>
      </c>
      <c r="E7" s="4" t="n">
        <v>68</v>
      </c>
      <c r="F7" s="4" t="n">
        <v>0</v>
      </c>
      <c r="G7" s="5" t="n">
        <v>1</v>
      </c>
      <c r="H7" s="5" t="n">
        <v>1.176470588235294</v>
      </c>
      <c r="I7" s="4" t="n">
        <v>0</v>
      </c>
      <c r="J7" s="4" t="n">
        <v>0</v>
      </c>
      <c r="K7" s="4" t="n">
        <v>0</v>
      </c>
      <c r="L7" s="5" t="n"/>
      <c r="M7" s="4" t="n">
        <v>0</v>
      </c>
      <c r="N7" s="4" t="n">
        <v>0</v>
      </c>
      <c r="O7" s="4" t="n">
        <v>0</v>
      </c>
      <c r="P7" s="4" t="n">
        <v>10</v>
      </c>
      <c r="Q7" s="4" t="n">
        <v>7</v>
      </c>
      <c r="R7" s="4" t="n">
        <v>27</v>
      </c>
      <c r="S7" s="4" t="n">
        <v>1</v>
      </c>
      <c r="T7" s="5" t="n">
        <v>0.9642857142857143</v>
      </c>
      <c r="U7" s="4" t="n">
        <v>2</v>
      </c>
      <c r="V7" s="4" t="n">
        <v>2</v>
      </c>
      <c r="W7" s="5" t="n">
        <v>1</v>
      </c>
      <c r="X7" s="4" t="n">
        <v>15</v>
      </c>
      <c r="Y7" s="4" t="n">
        <v>111</v>
      </c>
      <c r="Z7" s="4" t="n">
        <v>110</v>
      </c>
    </row>
    <row r="8">
      <c r="A8" s="4" t="inlineStr">
        <is>
          <t>김어진</t>
        </is>
      </c>
      <c r="B8" s="4" t="n">
        <v>22</v>
      </c>
      <c r="C8" s="4" t="n">
        <v>1</v>
      </c>
      <c r="D8" s="4" t="n">
        <v>97</v>
      </c>
      <c r="E8" s="4" t="n">
        <v>97</v>
      </c>
      <c r="F8" s="4" t="n">
        <v>0</v>
      </c>
      <c r="G8" s="5" t="n">
        <v>1</v>
      </c>
      <c r="H8" s="5" t="n">
        <v>1.176470588235294</v>
      </c>
      <c r="I8" s="4" t="n">
        <v>1</v>
      </c>
      <c r="J8" s="4" t="n">
        <v>1</v>
      </c>
      <c r="K8" s="4" t="n">
        <v>0</v>
      </c>
      <c r="L8" s="5" t="n">
        <v>0</v>
      </c>
      <c r="M8" s="4" t="n">
        <v>9</v>
      </c>
      <c r="N8" s="4" t="n">
        <v>5</v>
      </c>
      <c r="O8" s="4" t="n">
        <v>9</v>
      </c>
      <c r="P8" s="4" t="n">
        <v>26</v>
      </c>
      <c r="Q8" s="4" t="n">
        <v>13</v>
      </c>
      <c r="R8" s="4" t="n">
        <v>42</v>
      </c>
      <c r="S8" s="4" t="n">
        <v>1</v>
      </c>
      <c r="T8" s="5" t="n">
        <v>0.9767441860465116</v>
      </c>
      <c r="U8" s="4" t="n">
        <v>4</v>
      </c>
      <c r="V8" s="4" t="n">
        <v>4</v>
      </c>
      <c r="W8" s="5" t="n">
        <v>1</v>
      </c>
      <c r="X8" s="4" t="n">
        <v>1</v>
      </c>
      <c r="Y8" s="4" t="n">
        <v>151</v>
      </c>
      <c r="Z8" s="4" t="n">
        <v>150</v>
      </c>
    </row>
    <row r="9">
      <c r="A9" s="4" t="inlineStr">
        <is>
          <t>김유하</t>
        </is>
      </c>
      <c r="B9" s="4" t="n">
        <v>20</v>
      </c>
      <c r="C9" s="4" t="n">
        <v>3</v>
      </c>
      <c r="D9" s="4" t="n">
        <v>64</v>
      </c>
      <c r="E9" s="4" t="n">
        <v>64</v>
      </c>
      <c r="F9" s="4" t="n">
        <v>0</v>
      </c>
      <c r="G9" s="5" t="n">
        <v>1</v>
      </c>
      <c r="H9" s="5" t="n">
        <v>1.176470588235294</v>
      </c>
      <c r="I9" s="4" t="n">
        <v>1</v>
      </c>
      <c r="J9" s="4" t="n">
        <v>0</v>
      </c>
      <c r="K9" s="4" t="n">
        <v>0</v>
      </c>
      <c r="L9" s="5" t="n"/>
      <c r="M9" s="4" t="n">
        <v>6</v>
      </c>
      <c r="N9" s="4" t="n">
        <v>3</v>
      </c>
      <c r="O9" s="4" t="n">
        <v>6</v>
      </c>
      <c r="P9" s="4" t="n">
        <v>30</v>
      </c>
      <c r="Q9" s="4" t="n">
        <v>13</v>
      </c>
      <c r="R9" s="4" t="n">
        <v>62</v>
      </c>
      <c r="S9" s="4" t="n">
        <v>0</v>
      </c>
      <c r="T9" s="5" t="n">
        <v>1</v>
      </c>
      <c r="U9" s="4" t="n">
        <v>3</v>
      </c>
      <c r="V9" s="4" t="n">
        <v>3</v>
      </c>
      <c r="W9" s="5" t="n">
        <v>1</v>
      </c>
      <c r="X9" s="4" t="n">
        <v>0</v>
      </c>
      <c r="Y9" s="4" t="n">
        <v>133</v>
      </c>
      <c r="Z9" s="4" t="n">
        <v>133</v>
      </c>
    </row>
    <row r="10">
      <c r="A10" s="4" t="inlineStr">
        <is>
          <t>김홍선</t>
        </is>
      </c>
      <c r="B10" s="4" t="n">
        <v>21</v>
      </c>
      <c r="C10" s="4" t="n">
        <v>0</v>
      </c>
      <c r="D10" s="4" t="n">
        <v>102</v>
      </c>
      <c r="E10" s="4" t="n">
        <v>102</v>
      </c>
      <c r="F10" s="4" t="n">
        <v>0</v>
      </c>
      <c r="G10" s="5" t="n">
        <v>1</v>
      </c>
      <c r="H10" s="5" t="n">
        <v>1.176470588235294</v>
      </c>
      <c r="I10" s="4" t="n">
        <v>1</v>
      </c>
      <c r="J10" s="4" t="n">
        <v>0</v>
      </c>
      <c r="K10" s="4" t="n">
        <v>0</v>
      </c>
      <c r="L10" s="5" t="n"/>
      <c r="M10" s="4" t="n">
        <v>8</v>
      </c>
      <c r="N10" s="4" t="n">
        <v>4</v>
      </c>
      <c r="O10" s="4" t="n">
        <v>8</v>
      </c>
      <c r="P10" s="4" t="n">
        <v>12</v>
      </c>
      <c r="Q10" s="4" t="n">
        <v>8</v>
      </c>
      <c r="R10" s="4" t="n">
        <v>26</v>
      </c>
      <c r="S10" s="4" t="n">
        <v>1</v>
      </c>
      <c r="T10" s="5" t="n">
        <v>0.9629629629629629</v>
      </c>
      <c r="U10" s="4" t="n">
        <v>3</v>
      </c>
      <c r="V10" s="4" t="n">
        <v>2</v>
      </c>
      <c r="W10" s="5" t="n">
        <v>0.6666666666666666</v>
      </c>
      <c r="X10" s="4" t="n">
        <v>4</v>
      </c>
      <c r="Y10" s="4" t="n">
        <v>142</v>
      </c>
      <c r="Z10" s="4" t="n">
        <v>141</v>
      </c>
    </row>
    <row r="11">
      <c r="A11" s="4" t="inlineStr">
        <is>
          <t>김희원</t>
        </is>
      </c>
      <c r="B11" s="4" t="n">
        <v>9</v>
      </c>
      <c r="C11" s="4" t="n">
        <v>1</v>
      </c>
      <c r="D11" s="4" t="n">
        <v>25</v>
      </c>
      <c r="E11" s="4" t="n">
        <v>25</v>
      </c>
      <c r="F11" s="4" t="n">
        <v>0</v>
      </c>
      <c r="G11" s="5" t="n">
        <v>1</v>
      </c>
      <c r="H11" s="5" t="n">
        <v>1.176470588235294</v>
      </c>
      <c r="I11" s="4" t="n">
        <v>0</v>
      </c>
      <c r="J11" s="4" t="n"/>
      <c r="K11" s="4" t="n"/>
      <c r="L11" s="5" t="n"/>
      <c r="M11" s="4" t="n">
        <v>0</v>
      </c>
      <c r="N11" s="4" t="n">
        <v>0</v>
      </c>
      <c r="O11" s="4" t="n">
        <v>0</v>
      </c>
      <c r="P11" s="4" t="n">
        <v>26</v>
      </c>
      <c r="Q11" s="4" t="n">
        <v>9</v>
      </c>
      <c r="R11" s="4" t="n">
        <v>30</v>
      </c>
      <c r="S11" s="4" t="n">
        <v>1</v>
      </c>
      <c r="T11" s="5" t="n">
        <v>0.967741935483871</v>
      </c>
      <c r="U11" s="4" t="n">
        <v>2</v>
      </c>
      <c r="V11" s="4" t="n">
        <v>2</v>
      </c>
      <c r="W11" s="5" t="n">
        <v>1</v>
      </c>
      <c r="X11" s="4" t="n">
        <v>0</v>
      </c>
      <c r="Y11" s="4" t="n">
        <v>56</v>
      </c>
      <c r="Z11" s="4" t="n">
        <v>55</v>
      </c>
    </row>
    <row r="12">
      <c r="A12" s="4" t="inlineStr">
        <is>
          <t>박은슬</t>
        </is>
      </c>
      <c r="B12" s="4" t="n">
        <v>5</v>
      </c>
      <c r="C12" s="4" t="n">
        <v>0</v>
      </c>
      <c r="D12" s="4" t="n">
        <v>19</v>
      </c>
      <c r="E12" s="4" t="n">
        <v>19</v>
      </c>
      <c r="F12" s="4" t="n">
        <v>0</v>
      </c>
      <c r="G12" s="5" t="n">
        <v>1</v>
      </c>
      <c r="H12" s="5" t="n">
        <v>1.176470588235294</v>
      </c>
      <c r="I12" s="4" t="n">
        <v>0</v>
      </c>
      <c r="J12" s="4" t="n"/>
      <c r="K12" s="4" t="n"/>
      <c r="L12" s="5" t="n"/>
      <c r="M12" s="4" t="n">
        <v>0</v>
      </c>
      <c r="N12" s="4" t="n">
        <v>0</v>
      </c>
      <c r="O12" s="4" t="n">
        <v>0</v>
      </c>
      <c r="P12" s="4" t="n">
        <v>10</v>
      </c>
      <c r="Q12" s="4" t="n">
        <v>7</v>
      </c>
      <c r="R12" s="4" t="n">
        <v>19</v>
      </c>
      <c r="S12" s="4" t="n">
        <v>0</v>
      </c>
      <c r="T12" s="5" t="n">
        <v>1</v>
      </c>
      <c r="U12" s="4" t="n">
        <v>1</v>
      </c>
      <c r="V12" s="4" t="n">
        <v>1</v>
      </c>
      <c r="W12" s="5" t="n">
        <v>1</v>
      </c>
      <c r="X12" s="4" t="n">
        <v>15</v>
      </c>
      <c r="Y12" s="4" t="n">
        <v>53</v>
      </c>
      <c r="Z12" s="4" t="n">
        <v>53</v>
      </c>
    </row>
    <row r="13">
      <c r="A13" s="4" t="inlineStr">
        <is>
          <t>신효선</t>
        </is>
      </c>
      <c r="B13" s="4" t="n">
        <v>19</v>
      </c>
      <c r="C13" s="4" t="n">
        <v>2</v>
      </c>
      <c r="D13" s="4" t="n">
        <v>71</v>
      </c>
      <c r="E13" s="4" t="n">
        <v>71</v>
      </c>
      <c r="F13" s="4" t="n">
        <v>0</v>
      </c>
      <c r="G13" s="5" t="n">
        <v>1</v>
      </c>
      <c r="H13" s="5" t="n">
        <v>1.176470588235294</v>
      </c>
      <c r="I13" s="4" t="n">
        <v>0</v>
      </c>
      <c r="J13" s="4" t="n">
        <v>0</v>
      </c>
      <c r="K13" s="4" t="n">
        <v>0</v>
      </c>
      <c r="L13" s="5" t="n"/>
      <c r="M13" s="4" t="n">
        <v>0</v>
      </c>
      <c r="N13" s="4" t="n">
        <v>0</v>
      </c>
      <c r="O13" s="4" t="n">
        <v>0</v>
      </c>
      <c r="P13" s="4" t="n">
        <v>20</v>
      </c>
      <c r="Q13" s="4" t="n">
        <v>8</v>
      </c>
      <c r="R13" s="4" t="n">
        <v>36</v>
      </c>
      <c r="S13" s="4" t="n">
        <v>0</v>
      </c>
      <c r="T13" s="5" t="n">
        <v>1</v>
      </c>
      <c r="U13" s="4" t="n">
        <v>3</v>
      </c>
      <c r="V13" s="4" t="n">
        <v>2</v>
      </c>
      <c r="W13" s="5" t="n">
        <v>0.6666666666666666</v>
      </c>
      <c r="X13" s="4" t="n">
        <v>16</v>
      </c>
      <c r="Y13" s="4" t="n">
        <v>123</v>
      </c>
      <c r="Z13" s="4" t="n">
        <v>123</v>
      </c>
    </row>
    <row r="14">
      <c r="A14" s="4" t="inlineStr">
        <is>
          <t>이송연</t>
        </is>
      </c>
      <c r="B14" s="4" t="n">
        <v>8</v>
      </c>
      <c r="C14" s="4" t="n">
        <v>0</v>
      </c>
      <c r="D14" s="4" t="n">
        <v>18</v>
      </c>
      <c r="E14" s="4" t="n">
        <v>18</v>
      </c>
      <c r="F14" s="4" t="n">
        <v>0</v>
      </c>
      <c r="G14" s="5" t="n">
        <v>1</v>
      </c>
      <c r="H14" s="5" t="n">
        <v>1.176470588235294</v>
      </c>
      <c r="I14" s="4" t="n">
        <v>2</v>
      </c>
      <c r="J14" s="4" t="n">
        <v>2</v>
      </c>
      <c r="K14" s="4" t="n">
        <v>2</v>
      </c>
      <c r="L14" s="5" t="n">
        <v>1</v>
      </c>
      <c r="M14" s="4" t="n">
        <v>4</v>
      </c>
      <c r="N14" s="4" t="n">
        <v>2</v>
      </c>
      <c r="O14" s="4" t="n">
        <v>4</v>
      </c>
      <c r="P14" s="4" t="n">
        <v>32</v>
      </c>
      <c r="Q14" s="4" t="n">
        <v>16</v>
      </c>
      <c r="R14" s="4" t="n">
        <v>55</v>
      </c>
      <c r="S14" s="4" t="n">
        <v>4</v>
      </c>
      <c r="T14" s="5" t="n">
        <v>0.9322033898305084</v>
      </c>
      <c r="U14" s="4" t="n">
        <v>1</v>
      </c>
      <c r="V14" s="4" t="n">
        <v>1</v>
      </c>
      <c r="W14" s="5" t="n">
        <v>1</v>
      </c>
      <c r="X14" s="4" t="n">
        <v>0</v>
      </c>
      <c r="Y14" s="4" t="n">
        <v>83</v>
      </c>
      <c r="Z14" s="4" t="n">
        <v>79</v>
      </c>
    </row>
    <row r="15">
      <c r="A15" s="4" t="inlineStr">
        <is>
          <t>이수민</t>
        </is>
      </c>
      <c r="B15" s="4" t="n">
        <v>22</v>
      </c>
      <c r="C15" s="4" t="n">
        <v>0</v>
      </c>
      <c r="D15" s="4" t="n">
        <v>84</v>
      </c>
      <c r="E15" s="4" t="n">
        <v>84</v>
      </c>
      <c r="F15" s="4" t="n">
        <v>0</v>
      </c>
      <c r="G15" s="5" t="n">
        <v>1</v>
      </c>
      <c r="H15" s="5" t="n">
        <v>1.176470588235294</v>
      </c>
      <c r="I15" s="4" t="n">
        <v>1</v>
      </c>
      <c r="J15" s="4" t="n"/>
      <c r="K15" s="4" t="n"/>
      <c r="L15" s="5" t="n"/>
      <c r="M15" s="4" t="n">
        <v>14</v>
      </c>
      <c r="N15" s="4" t="n">
        <v>7</v>
      </c>
      <c r="O15" s="4" t="n">
        <v>14</v>
      </c>
      <c r="P15" s="4" t="n">
        <v>32</v>
      </c>
      <c r="Q15" s="4" t="n">
        <v>13</v>
      </c>
      <c r="R15" s="4" t="n">
        <v>59</v>
      </c>
      <c r="S15" s="4" t="n">
        <v>0</v>
      </c>
      <c r="T15" s="5" t="n">
        <v>1</v>
      </c>
      <c r="U15" s="4" t="n">
        <v>7</v>
      </c>
      <c r="V15" s="4" t="n">
        <v>6</v>
      </c>
      <c r="W15" s="5" t="n">
        <v>0.8571428571428571</v>
      </c>
      <c r="X15" s="4" t="n">
        <v>0</v>
      </c>
      <c r="Y15" s="4" t="n">
        <v>158</v>
      </c>
      <c r="Z15" s="4" t="n">
        <v>158</v>
      </c>
    </row>
    <row r="16">
      <c r="A16" s="4" t="inlineStr">
        <is>
          <t>이윤희</t>
        </is>
      </c>
      <c r="B16" s="4" t="n">
        <v>4</v>
      </c>
      <c r="C16" s="4" t="n">
        <v>0</v>
      </c>
      <c r="D16" s="4" t="n">
        <v>8</v>
      </c>
      <c r="E16" s="4" t="n">
        <v>8</v>
      </c>
      <c r="F16" s="4" t="n">
        <v>0</v>
      </c>
      <c r="G16" s="5" t="n">
        <v>1</v>
      </c>
      <c r="H16" s="5" t="n">
        <v>1.176470588235294</v>
      </c>
      <c r="I16" s="4" t="n">
        <v>0</v>
      </c>
      <c r="J16" s="4" t="n">
        <v>0</v>
      </c>
      <c r="K16" s="4" t="n">
        <v>0</v>
      </c>
      <c r="L16" s="5" t="n"/>
      <c r="M16" s="4" t="n">
        <v>16</v>
      </c>
      <c r="N16" s="4" t="n">
        <v>8</v>
      </c>
      <c r="O16" s="4" t="n">
        <v>16</v>
      </c>
      <c r="P16" s="4" t="n">
        <v>25</v>
      </c>
      <c r="Q16" s="4" t="n">
        <v>12</v>
      </c>
      <c r="R16" s="4" t="n">
        <v>37</v>
      </c>
      <c r="S16" s="4" t="n">
        <v>1</v>
      </c>
      <c r="T16" s="5" t="n">
        <v>0.9736842105263158</v>
      </c>
      <c r="U16" s="4" t="n">
        <v>0</v>
      </c>
      <c r="V16" s="4" t="n">
        <v>0</v>
      </c>
      <c r="W16" s="5" t="n"/>
      <c r="X16" s="4" t="n">
        <v>0</v>
      </c>
      <c r="Y16" s="4" t="n">
        <v>62</v>
      </c>
      <c r="Z16" s="4" t="n">
        <v>61</v>
      </c>
    </row>
    <row r="17">
      <c r="A17" s="4" t="inlineStr">
        <is>
          <t>정유정</t>
        </is>
      </c>
      <c r="B17" s="4" t="n">
        <v>3</v>
      </c>
      <c r="C17" s="4" t="n">
        <v>0</v>
      </c>
      <c r="D17" s="4" t="n">
        <v>6</v>
      </c>
      <c r="E17" s="4" t="n">
        <v>6</v>
      </c>
      <c r="F17" s="4" t="n">
        <v>0</v>
      </c>
      <c r="G17" s="5" t="n">
        <v>1</v>
      </c>
      <c r="H17" s="5" t="n">
        <v>1.176470588235294</v>
      </c>
      <c r="I17" s="4" t="n">
        <v>0</v>
      </c>
      <c r="J17" s="4" t="n"/>
      <c r="K17" s="4" t="n"/>
      <c r="L17" s="5" t="n"/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5" t="n"/>
      <c r="U17" s="4" t="n">
        <v>1</v>
      </c>
      <c r="V17" s="4" t="n">
        <v>1</v>
      </c>
      <c r="W17" s="5" t="n">
        <v>1</v>
      </c>
      <c r="X17" s="4" t="n">
        <v>3</v>
      </c>
      <c r="Y17" s="4" t="n">
        <v>9</v>
      </c>
      <c r="Z17" s="4" t="n">
        <v>9</v>
      </c>
    </row>
    <row r="18">
      <c r="A18" s="4" t="inlineStr">
        <is>
          <t>조수진</t>
        </is>
      </c>
      <c r="B18" s="4" t="n">
        <v>12</v>
      </c>
      <c r="C18" s="4" t="n">
        <v>1</v>
      </c>
      <c r="D18" s="4" t="n">
        <v>47</v>
      </c>
      <c r="E18" s="4" t="n">
        <v>47</v>
      </c>
      <c r="F18" s="4" t="n">
        <v>0</v>
      </c>
      <c r="G18" s="5" t="n">
        <v>1</v>
      </c>
      <c r="H18" s="5" t="n">
        <v>1.176470588235294</v>
      </c>
      <c r="I18" s="4" t="n">
        <v>0</v>
      </c>
      <c r="J18" s="4" t="n"/>
      <c r="K18" s="4" t="n"/>
      <c r="L18" s="5" t="n"/>
      <c r="M18" s="4" t="n">
        <v>0</v>
      </c>
      <c r="N18" s="4" t="n">
        <v>0</v>
      </c>
      <c r="O18" s="4" t="n">
        <v>0</v>
      </c>
      <c r="P18" s="4" t="n">
        <v>9</v>
      </c>
      <c r="Q18" s="4" t="n">
        <v>4</v>
      </c>
      <c r="R18" s="4" t="n">
        <v>10</v>
      </c>
      <c r="S18" s="4" t="n">
        <v>0</v>
      </c>
      <c r="T18" s="5" t="n">
        <v>1</v>
      </c>
      <c r="U18" s="4" t="n">
        <v>3</v>
      </c>
      <c r="V18" s="4" t="n">
        <v>3</v>
      </c>
      <c r="W18" s="5" t="n">
        <v>1</v>
      </c>
      <c r="X18" s="4" t="n">
        <v>16</v>
      </c>
      <c r="Y18" s="4" t="n">
        <v>73</v>
      </c>
      <c r="Z18" s="4" t="n">
        <v>73</v>
      </c>
    </row>
    <row r="19">
      <c r="A19" s="4" t="inlineStr">
        <is>
          <t>조윤정</t>
        </is>
      </c>
      <c r="B19" s="4" t="n">
        <v>10</v>
      </c>
      <c r="C19" s="4" t="n">
        <v>2</v>
      </c>
      <c r="D19" s="4" t="n">
        <v>29</v>
      </c>
      <c r="E19" s="4" t="n">
        <v>29</v>
      </c>
      <c r="F19" s="4" t="n">
        <v>0</v>
      </c>
      <c r="G19" s="5" t="n">
        <v>1</v>
      </c>
      <c r="H19" s="5" t="n">
        <v>1.176470588235294</v>
      </c>
      <c r="I19" s="4" t="n">
        <v>4</v>
      </c>
      <c r="J19" s="4" t="n">
        <v>4</v>
      </c>
      <c r="K19" s="4" t="n">
        <v>4</v>
      </c>
      <c r="L19" s="5" t="n">
        <v>1</v>
      </c>
      <c r="M19" s="4" t="n">
        <v>6</v>
      </c>
      <c r="N19" s="4" t="n">
        <v>3</v>
      </c>
      <c r="O19" s="4" t="n">
        <v>6</v>
      </c>
      <c r="P19" s="4" t="n">
        <v>32</v>
      </c>
      <c r="Q19" s="4" t="n">
        <v>9</v>
      </c>
      <c r="R19" s="4" t="n">
        <v>50</v>
      </c>
      <c r="S19" s="4" t="n">
        <v>2</v>
      </c>
      <c r="T19" s="5" t="n">
        <v>0.9615384615384616</v>
      </c>
      <c r="U19" s="4" t="n"/>
      <c r="V19" s="4" t="n"/>
      <c r="W19" s="5" t="n"/>
      <c r="X19" s="4" t="n">
        <v>0</v>
      </c>
      <c r="Y19" s="4" t="n">
        <v>91</v>
      </c>
      <c r="Z19" s="4" t="n">
        <v>89</v>
      </c>
    </row>
    <row r="20">
      <c r="A20" s="4" t="inlineStr">
        <is>
          <t>최지은</t>
        </is>
      </c>
      <c r="B20" s="4" t="n">
        <v>5</v>
      </c>
      <c r="C20" s="4" t="n">
        <v>2</v>
      </c>
      <c r="D20" s="4" t="n">
        <v>12</v>
      </c>
      <c r="E20" s="4" t="n">
        <v>12</v>
      </c>
      <c r="F20" s="4" t="n">
        <v>0</v>
      </c>
      <c r="G20" s="5" t="n">
        <v>1</v>
      </c>
      <c r="H20" s="5" t="n">
        <v>1.176470588235294</v>
      </c>
      <c r="I20" s="4" t="n">
        <v>0</v>
      </c>
      <c r="J20" s="4" t="n"/>
      <c r="K20" s="4" t="n"/>
      <c r="L20" s="5" t="n"/>
      <c r="M20" s="4" t="n">
        <v>0</v>
      </c>
      <c r="N20" s="4" t="n">
        <v>0</v>
      </c>
      <c r="O20" s="4" t="n">
        <v>0</v>
      </c>
      <c r="P20" s="4" t="n">
        <v>11</v>
      </c>
      <c r="Q20" s="4" t="n">
        <v>7</v>
      </c>
      <c r="R20" s="4" t="n">
        <v>31</v>
      </c>
      <c r="S20" s="4" t="n">
        <v>0</v>
      </c>
      <c r="T20" s="5" t="n">
        <v>1</v>
      </c>
      <c r="U20" s="4" t="n">
        <v>1</v>
      </c>
      <c r="V20" s="4" t="n"/>
      <c r="W20" s="5" t="n"/>
      <c r="X20" s="4" t="n">
        <v>0</v>
      </c>
      <c r="Y20" s="4" t="n">
        <v>43</v>
      </c>
      <c r="Z20" s="4" t="n">
        <v>43</v>
      </c>
    </row>
    <row r="21">
      <c r="A21" s="4" t="inlineStr">
        <is>
          <t>한진주</t>
        </is>
      </c>
      <c r="B21" s="4" t="n">
        <v>10</v>
      </c>
      <c r="C21" s="4" t="n">
        <v>0</v>
      </c>
      <c r="D21" s="4" t="n">
        <v>44</v>
      </c>
      <c r="E21" s="4" t="n">
        <v>44</v>
      </c>
      <c r="F21" s="4" t="n">
        <v>0</v>
      </c>
      <c r="G21" s="5" t="n">
        <v>1</v>
      </c>
      <c r="H21" s="5" t="n">
        <v>1.176470588235294</v>
      </c>
      <c r="I21" s="4" t="n">
        <v>0</v>
      </c>
      <c r="J21" s="4" t="n">
        <v>0</v>
      </c>
      <c r="K21" s="4" t="n">
        <v>0</v>
      </c>
      <c r="L21" s="5" t="n"/>
      <c r="M21" s="4" t="n">
        <v>0</v>
      </c>
      <c r="N21" s="4" t="n">
        <v>0</v>
      </c>
      <c r="O21" s="4" t="n">
        <v>0</v>
      </c>
      <c r="P21" s="4" t="n">
        <v>12</v>
      </c>
      <c r="Q21" s="4" t="n">
        <v>4</v>
      </c>
      <c r="R21" s="4" t="n">
        <v>24</v>
      </c>
      <c r="S21" s="4" t="n">
        <v>0</v>
      </c>
      <c r="T21" s="5" t="n">
        <v>1</v>
      </c>
      <c r="U21" s="4" t="n">
        <v>0</v>
      </c>
      <c r="V21" s="4" t="n">
        <v>0</v>
      </c>
      <c r="W21" s="5" t="n"/>
      <c r="X21" s="4" t="n">
        <v>7</v>
      </c>
      <c r="Y21" s="4" t="n">
        <v>75</v>
      </c>
      <c r="Z21" s="4" t="n">
        <v>75</v>
      </c>
    </row>
    <row r="22">
      <c r="A22" s="4" t="inlineStr">
        <is>
          <t>허다연</t>
        </is>
      </c>
      <c r="B22" s="4" t="n">
        <v>19</v>
      </c>
      <c r="C22" s="4" t="n">
        <v>1</v>
      </c>
      <c r="D22" s="4" t="n">
        <v>73</v>
      </c>
      <c r="E22" s="4" t="n">
        <v>71</v>
      </c>
      <c r="F22" s="4" t="n">
        <v>2</v>
      </c>
      <c r="G22" s="5" t="n">
        <v>0.9726027397260274</v>
      </c>
      <c r="H22" s="5" t="n">
        <v>1.144238517324738</v>
      </c>
      <c r="I22" s="4" t="n">
        <v>0</v>
      </c>
      <c r="J22" s="4" t="n">
        <v>0</v>
      </c>
      <c r="K22" s="4" t="n">
        <v>0</v>
      </c>
      <c r="L22" s="5" t="n"/>
      <c r="M22" s="4" t="n">
        <v>0</v>
      </c>
      <c r="N22" s="4" t="n">
        <v>0</v>
      </c>
      <c r="O22" s="4" t="n">
        <v>0</v>
      </c>
      <c r="P22" s="4" t="n">
        <v>15</v>
      </c>
      <c r="Q22" s="4" t="n">
        <v>5</v>
      </c>
      <c r="R22" s="4" t="n">
        <v>22</v>
      </c>
      <c r="S22" s="4" t="n">
        <v>0</v>
      </c>
      <c r="T22" s="5" t="n">
        <v>1</v>
      </c>
      <c r="U22" s="4" t="n">
        <v>1</v>
      </c>
      <c r="V22" s="4" t="n">
        <v>1</v>
      </c>
      <c r="W22" s="5" t="n">
        <v>1</v>
      </c>
      <c r="X22" s="4" t="n">
        <v>0</v>
      </c>
      <c r="Y22" s="4" t="n">
        <v>95</v>
      </c>
      <c r="Z22" s="4" t="n">
        <v>93</v>
      </c>
    </row>
    <row r="23">
      <c r="A23" s="4" t="inlineStr">
        <is>
          <t>현미란</t>
        </is>
      </c>
      <c r="B23" s="4" t="n">
        <v>5</v>
      </c>
      <c r="C23" s="4" t="n">
        <v>1</v>
      </c>
      <c r="D23" s="4" t="n">
        <v>9</v>
      </c>
      <c r="E23" s="4" t="n">
        <v>9</v>
      </c>
      <c r="F23" s="4" t="n">
        <v>0</v>
      </c>
      <c r="G23" s="5" t="n">
        <v>1</v>
      </c>
      <c r="H23" s="5" t="n">
        <v>1.176470588235294</v>
      </c>
      <c r="I23" s="4" t="n">
        <v>0</v>
      </c>
      <c r="J23" s="4" t="n">
        <v>0</v>
      </c>
      <c r="K23" s="4" t="n">
        <v>0</v>
      </c>
      <c r="L23" s="5" t="n"/>
      <c r="M23" s="4" t="n">
        <v>0</v>
      </c>
      <c r="N23" s="4" t="n">
        <v>0</v>
      </c>
      <c r="O23" s="4" t="n">
        <v>0</v>
      </c>
      <c r="P23" s="4" t="n">
        <v>5</v>
      </c>
      <c r="Q23" s="4" t="n">
        <v>5</v>
      </c>
      <c r="R23" s="4" t="n">
        <v>8</v>
      </c>
      <c r="S23" s="4" t="n">
        <v>0</v>
      </c>
      <c r="T23" s="5" t="n">
        <v>1</v>
      </c>
      <c r="U23" s="4" t="n">
        <v>1</v>
      </c>
      <c r="V23" s="4" t="n">
        <v>1</v>
      </c>
      <c r="W23" s="5" t="n">
        <v>1</v>
      </c>
      <c r="X23" s="4" t="n">
        <v>0</v>
      </c>
      <c r="Y23" s="4" t="n">
        <v>17</v>
      </c>
      <c r="Z23" s="4" t="n">
        <v>17</v>
      </c>
    </row>
    <row r="24">
      <c r="A24" s="6" t="inlineStr">
        <is>
          <t>합계</t>
        </is>
      </c>
      <c r="B24" s="6">
        <f>SUM(B5:B23)</f>
        <v/>
      </c>
      <c r="C24" s="6">
        <f>SUM(C5:C23)</f>
        <v/>
      </c>
      <c r="D24" s="6">
        <f>SUM(D5:D23)</f>
        <v/>
      </c>
      <c r="E24" s="6">
        <f>SUM(E5:E23)</f>
        <v/>
      </c>
      <c r="F24" s="6">
        <f>SUM(F5:F23)</f>
        <v/>
      </c>
      <c r="G24" s="7">
        <f>AVERAGE(G5:G23)</f>
        <v/>
      </c>
      <c r="H24" s="7">
        <f>AVERAGE(H5:H23)</f>
        <v/>
      </c>
      <c r="I24" s="6">
        <f>SUM(I5:I23)</f>
        <v/>
      </c>
      <c r="J24" s="6">
        <f>SUM(J5:J23)</f>
        <v/>
      </c>
      <c r="K24" s="6">
        <f>SUM(K5:K23)</f>
        <v/>
      </c>
      <c r="L24" s="7">
        <f>AVERAGE(L5:L23)</f>
        <v/>
      </c>
      <c r="M24" s="6">
        <f>SUM(M5:M23)</f>
        <v/>
      </c>
      <c r="N24" s="6">
        <f>SUM(N5:N23)</f>
        <v/>
      </c>
      <c r="O24" s="6">
        <f>SUM(O5:O23)</f>
        <v/>
      </c>
      <c r="P24" s="6">
        <f>SUM(P5:P23)</f>
        <v/>
      </c>
      <c r="Q24" s="6">
        <f>SUM(Q5:Q23)</f>
        <v/>
      </c>
      <c r="R24" s="6">
        <f>SUM(R5:R23)</f>
        <v/>
      </c>
      <c r="S24" s="6">
        <f>SUM(S5:S23)</f>
        <v/>
      </c>
      <c r="T24" s="7">
        <f>AVERAGE(T5:T23)</f>
        <v/>
      </c>
      <c r="U24" s="6">
        <f>SUM(U5:U23)</f>
        <v/>
      </c>
      <c r="V24" s="6">
        <f>SUM(V5:V23)</f>
        <v/>
      </c>
      <c r="W24" s="7">
        <f>AVERAGE(W5:W23)</f>
        <v/>
      </c>
      <c r="X24" s="6">
        <f>SUM(X5:X23)</f>
        <v/>
      </c>
      <c r="Y24" s="6">
        <f>SUM(Y5:Y23)</f>
        <v/>
      </c>
      <c r="Z24" s="6">
        <f>SUM(Z5:Z23)</f>
        <v/>
      </c>
    </row>
  </sheetData>
  <mergeCells count="8">
    <mergeCell ref="P3:T3"/>
    <mergeCell ref="A1:Z1"/>
    <mergeCell ref="B3:C3"/>
    <mergeCell ref="I3:L3"/>
    <mergeCell ref="Y3:Z3"/>
    <mergeCell ref="M3:O3"/>
    <mergeCell ref="U3:W3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TRNT 필라테스 - 2월 vs 3월 강사별 월간 비교</t>
        </is>
      </c>
    </row>
    <row r="3">
      <c r="A3" s="8" t="inlineStr">
        <is>
          <t>강사</t>
        </is>
      </c>
      <c r="B3" s="8" t="inlineStr">
        <is>
          <t>2월_개인수업</t>
        </is>
      </c>
      <c r="C3" s="8" t="inlineStr">
        <is>
          <t>3월_개인수업</t>
        </is>
      </c>
      <c r="D3" s="8" t="inlineStr">
        <is>
          <t>증감</t>
        </is>
      </c>
      <c r="E3" s="8" t="inlineStr">
        <is>
          <t>2월_개인출석율</t>
        </is>
      </c>
      <c r="F3" s="8" t="inlineStr">
        <is>
          <t>3월_개인출석율</t>
        </is>
      </c>
      <c r="G3" s="8" t="inlineStr">
        <is>
          <t>증감</t>
        </is>
      </c>
      <c r="H3" s="8" t="inlineStr">
        <is>
          <t>2월_듀엣수업</t>
        </is>
      </c>
      <c r="I3" s="8" t="inlineStr">
        <is>
          <t>3월_듀엣수업</t>
        </is>
      </c>
      <c r="J3" s="8" t="inlineStr">
        <is>
          <t>증감</t>
        </is>
      </c>
      <c r="K3" s="8" t="inlineStr">
        <is>
          <t>2월_그룹출석</t>
        </is>
      </c>
      <c r="L3" s="8" t="inlineStr">
        <is>
          <t>3월_그룹출석</t>
        </is>
      </c>
      <c r="M3" s="8" t="inlineStr">
        <is>
          <t>증감</t>
        </is>
      </c>
      <c r="N3" s="8" t="inlineStr">
        <is>
          <t>2월_총수업</t>
        </is>
      </c>
      <c r="O3" s="8" t="inlineStr">
        <is>
          <t>3월_총수업</t>
        </is>
      </c>
      <c r="P3" s="8" t="inlineStr">
        <is>
          <t>증감</t>
        </is>
      </c>
      <c r="Q3" s="8" t="inlineStr">
        <is>
          <t>2월_재등록률</t>
        </is>
      </c>
      <c r="R3" s="8" t="inlineStr">
        <is>
          <t>3월_재등록률</t>
        </is>
      </c>
    </row>
    <row r="4">
      <c r="A4" s="4" t="inlineStr">
        <is>
          <t>강다감</t>
        </is>
      </c>
      <c r="B4" s="4" t="n">
        <v>78</v>
      </c>
      <c r="C4" s="4" t="n">
        <v>122</v>
      </c>
      <c r="D4" s="4" t="n">
        <v>44</v>
      </c>
      <c r="E4" s="5" t="n">
        <v>1</v>
      </c>
      <c r="F4" s="5" t="n">
        <v>1</v>
      </c>
      <c r="G4" s="5" t="n">
        <v>0</v>
      </c>
      <c r="H4" s="4" t="n">
        <v>2</v>
      </c>
      <c r="I4" s="4" t="n">
        <v>4</v>
      </c>
      <c r="J4" s="4" t="n">
        <v>2</v>
      </c>
      <c r="K4" s="4" t="n">
        <v>16</v>
      </c>
      <c r="L4" s="4" t="n">
        <v>28</v>
      </c>
      <c r="M4" s="4" t="n">
        <v>12</v>
      </c>
      <c r="N4" s="4" t="n">
        <v>128</v>
      </c>
      <c r="O4" s="4" t="n">
        <v>164</v>
      </c>
      <c r="P4" s="4" t="n">
        <v>36</v>
      </c>
      <c r="Q4" s="5" t="n"/>
      <c r="R4" s="5" t="n"/>
    </row>
    <row r="5">
      <c r="A5" s="4" t="inlineStr">
        <is>
          <t>고진실</t>
        </is>
      </c>
      <c r="B5" s="4" t="n">
        <v>41</v>
      </c>
      <c r="C5" s="4" t="n">
        <v>8</v>
      </c>
      <c r="D5" s="4" t="n">
        <v>-33</v>
      </c>
      <c r="E5" s="5" t="n">
        <v>0.975609756097561</v>
      </c>
      <c r="F5" s="5" t="n">
        <v>1</v>
      </c>
      <c r="G5" s="5" t="n">
        <v>0.02439024390243905</v>
      </c>
      <c r="H5" s="4" t="n">
        <v>0</v>
      </c>
      <c r="I5" s="4" t="n">
        <v>0</v>
      </c>
      <c r="J5" s="4" t="n">
        <v>0</v>
      </c>
      <c r="K5" s="4" t="n">
        <v>40</v>
      </c>
      <c r="L5" s="4" t="n">
        <v>0</v>
      </c>
      <c r="M5" s="4" t="n">
        <v>-40</v>
      </c>
      <c r="N5" s="4" t="n">
        <v>178</v>
      </c>
      <c r="O5" s="4" t="n">
        <v>78</v>
      </c>
      <c r="P5" s="4" t="n">
        <v>-100</v>
      </c>
      <c r="Q5" s="5" t="n"/>
      <c r="R5" s="5" t="n"/>
    </row>
    <row r="6">
      <c r="A6" s="4" t="inlineStr">
        <is>
          <t>곽진경</t>
        </is>
      </c>
      <c r="B6" s="4" t="n">
        <v>68</v>
      </c>
      <c r="C6" s="4" t="n">
        <v>57</v>
      </c>
      <c r="D6" s="4" t="n">
        <v>-11</v>
      </c>
      <c r="E6" s="5" t="n">
        <v>1</v>
      </c>
      <c r="F6" s="5" t="n">
        <v>1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27</v>
      </c>
      <c r="L6" s="4" t="n">
        <v>31</v>
      </c>
      <c r="M6" s="4" t="n">
        <v>4</v>
      </c>
      <c r="N6" s="4" t="n">
        <v>111</v>
      </c>
      <c r="O6" s="4" t="n">
        <v>88</v>
      </c>
      <c r="P6" s="4" t="n">
        <v>-23</v>
      </c>
      <c r="Q6" s="5" t="n">
        <v>1</v>
      </c>
      <c r="R6" s="5" t="n">
        <v>1</v>
      </c>
    </row>
    <row r="7">
      <c r="A7" s="4" t="inlineStr">
        <is>
          <t>김어진</t>
        </is>
      </c>
      <c r="B7" s="4" t="n">
        <v>97</v>
      </c>
      <c r="C7" s="4" t="n">
        <v>106</v>
      </c>
      <c r="D7" s="4" t="n">
        <v>9</v>
      </c>
      <c r="E7" s="5" t="n">
        <v>1</v>
      </c>
      <c r="F7" s="5" t="n">
        <v>1</v>
      </c>
      <c r="G7" s="5" t="n">
        <v>0</v>
      </c>
      <c r="H7" s="4" t="n">
        <v>5</v>
      </c>
      <c r="I7" s="4" t="n">
        <v>8</v>
      </c>
      <c r="J7" s="4" t="n">
        <v>3</v>
      </c>
      <c r="K7" s="4" t="n">
        <v>42</v>
      </c>
      <c r="L7" s="4" t="n">
        <v>64</v>
      </c>
      <c r="M7" s="4" t="n">
        <v>22</v>
      </c>
      <c r="N7" s="4" t="n">
        <v>151</v>
      </c>
      <c r="O7" s="4" t="n">
        <v>188</v>
      </c>
      <c r="P7" s="4" t="n">
        <v>37</v>
      </c>
      <c r="Q7" s="5" t="n">
        <v>1</v>
      </c>
      <c r="R7" s="5" t="n">
        <v>1</v>
      </c>
    </row>
    <row r="8">
      <c r="A8" s="4" t="inlineStr">
        <is>
          <t>김유하</t>
        </is>
      </c>
      <c r="B8" s="4" t="n">
        <v>64</v>
      </c>
      <c r="C8" s="4" t="n">
        <v>100</v>
      </c>
      <c r="D8" s="4" t="n">
        <v>36</v>
      </c>
      <c r="E8" s="5" t="n">
        <v>1</v>
      </c>
      <c r="F8" s="5" t="n">
        <v>1</v>
      </c>
      <c r="G8" s="5" t="n">
        <v>0</v>
      </c>
      <c r="H8" s="4" t="n">
        <v>3</v>
      </c>
      <c r="I8" s="4" t="n">
        <v>6</v>
      </c>
      <c r="J8" s="4" t="n">
        <v>3</v>
      </c>
      <c r="K8" s="4" t="n">
        <v>62</v>
      </c>
      <c r="L8" s="4" t="n">
        <v>83</v>
      </c>
      <c r="M8" s="4" t="n">
        <v>21</v>
      </c>
      <c r="N8" s="4" t="n">
        <v>133</v>
      </c>
      <c r="O8" s="4" t="n">
        <v>196</v>
      </c>
      <c r="P8" s="4" t="n">
        <v>63</v>
      </c>
      <c r="Q8" s="5" t="n">
        <v>1</v>
      </c>
      <c r="R8" s="5" t="n">
        <v>1</v>
      </c>
    </row>
    <row r="9">
      <c r="A9" s="4" t="inlineStr">
        <is>
          <t>김홍선</t>
        </is>
      </c>
      <c r="B9" s="4" t="n">
        <v>102</v>
      </c>
      <c r="C9" s="4" t="n">
        <v>105</v>
      </c>
      <c r="D9" s="4" t="n">
        <v>3</v>
      </c>
      <c r="E9" s="5" t="n">
        <v>1</v>
      </c>
      <c r="F9" s="5" t="n">
        <v>1</v>
      </c>
      <c r="G9" s="5" t="n">
        <v>0</v>
      </c>
      <c r="H9" s="4" t="n">
        <v>4</v>
      </c>
      <c r="I9" s="4" t="n">
        <v>4</v>
      </c>
      <c r="J9" s="4" t="n">
        <v>0</v>
      </c>
      <c r="K9" s="4" t="n">
        <v>26</v>
      </c>
      <c r="L9" s="4" t="n">
        <v>30</v>
      </c>
      <c r="M9" s="4" t="n">
        <v>4</v>
      </c>
      <c r="N9" s="4" t="n">
        <v>142</v>
      </c>
      <c r="O9" s="4" t="n">
        <v>164</v>
      </c>
      <c r="P9" s="4" t="n">
        <v>22</v>
      </c>
      <c r="Q9" s="5" t="n">
        <v>0.6666666666666666</v>
      </c>
      <c r="R9" s="5" t="n">
        <v>1</v>
      </c>
    </row>
    <row r="10">
      <c r="A10" s="4" t="inlineStr">
        <is>
          <t>김희원</t>
        </is>
      </c>
      <c r="B10" s="4" t="n">
        <v>25</v>
      </c>
      <c r="C10" s="4" t="n">
        <v>30</v>
      </c>
      <c r="D10" s="4" t="n">
        <v>5</v>
      </c>
      <c r="E10" s="5" t="n">
        <v>1</v>
      </c>
      <c r="F10" s="5" t="n">
        <v>1</v>
      </c>
      <c r="G10" s="5" t="n">
        <v>0</v>
      </c>
      <c r="H10" s="4" t="n">
        <v>0</v>
      </c>
      <c r="I10" s="4" t="n">
        <v>0</v>
      </c>
      <c r="J10" s="4" t="n">
        <v>0</v>
      </c>
      <c r="K10" s="4" t="n">
        <v>30</v>
      </c>
      <c r="L10" s="4" t="n">
        <v>23</v>
      </c>
      <c r="M10" s="4" t="n">
        <v>-7</v>
      </c>
      <c r="N10" s="4" t="n">
        <v>56</v>
      </c>
      <c r="O10" s="4" t="n">
        <v>54</v>
      </c>
      <c r="P10" s="4" t="n">
        <v>-2</v>
      </c>
      <c r="Q10" s="5" t="n">
        <v>1</v>
      </c>
      <c r="R10" s="5" t="n">
        <v>1</v>
      </c>
    </row>
    <row r="11">
      <c r="A11" s="4" t="inlineStr">
        <is>
          <t>박은슬</t>
        </is>
      </c>
      <c r="B11" s="4" t="n">
        <v>19</v>
      </c>
      <c r="C11" s="4" t="n">
        <v>27</v>
      </c>
      <c r="D11" s="4" t="n">
        <v>8</v>
      </c>
      <c r="E11" s="5" t="n">
        <v>1</v>
      </c>
      <c r="F11" s="5" t="n">
        <v>1</v>
      </c>
      <c r="G11" s="5" t="n">
        <v>0</v>
      </c>
      <c r="H11" s="4" t="n">
        <v>0</v>
      </c>
      <c r="I11" s="4" t="n">
        <v>0</v>
      </c>
      <c r="J11" s="4" t="n">
        <v>0</v>
      </c>
      <c r="K11" s="4" t="n">
        <v>19</v>
      </c>
      <c r="L11" s="4" t="n">
        <v>36</v>
      </c>
      <c r="M11" s="4" t="n">
        <v>17</v>
      </c>
      <c r="N11" s="4" t="n">
        <v>53</v>
      </c>
      <c r="O11" s="4" t="n">
        <v>77</v>
      </c>
      <c r="P11" s="4" t="n">
        <v>24</v>
      </c>
      <c r="Q11" s="5" t="n">
        <v>1</v>
      </c>
      <c r="R11" s="5" t="n">
        <v>1</v>
      </c>
    </row>
    <row r="12">
      <c r="A12" s="4" t="inlineStr">
        <is>
          <t>신효선</t>
        </is>
      </c>
      <c r="B12" s="4" t="n">
        <v>71</v>
      </c>
      <c r="C12" s="4" t="n">
        <v>94</v>
      </c>
      <c r="D12" s="4" t="n">
        <v>23</v>
      </c>
      <c r="E12" s="5" t="n">
        <v>1</v>
      </c>
      <c r="F12" s="5" t="n">
        <v>1</v>
      </c>
      <c r="G12" s="5" t="n">
        <v>0</v>
      </c>
      <c r="H12" s="4" t="n">
        <v>0</v>
      </c>
      <c r="I12" s="4" t="n">
        <v>0</v>
      </c>
      <c r="J12" s="4" t="n">
        <v>0</v>
      </c>
      <c r="K12" s="4" t="n">
        <v>36</v>
      </c>
      <c r="L12" s="4" t="n">
        <v>34</v>
      </c>
      <c r="M12" s="4" t="n">
        <v>-2</v>
      </c>
      <c r="N12" s="4" t="n">
        <v>123</v>
      </c>
      <c r="O12" s="4" t="n">
        <v>152</v>
      </c>
      <c r="P12" s="4" t="n">
        <v>29</v>
      </c>
      <c r="Q12" s="5" t="n">
        <v>0.6666666666666666</v>
      </c>
      <c r="R12" s="5" t="n">
        <v>0.6666666666666666</v>
      </c>
    </row>
    <row r="13">
      <c r="A13" s="4" t="inlineStr">
        <is>
          <t>이송연</t>
        </is>
      </c>
      <c r="B13" s="4" t="n">
        <v>18</v>
      </c>
      <c r="C13" s="4" t="n">
        <v>28</v>
      </c>
      <c r="D13" s="4" t="n">
        <v>10</v>
      </c>
      <c r="E13" s="5" t="n">
        <v>1</v>
      </c>
      <c r="F13" s="5" t="n">
        <v>1</v>
      </c>
      <c r="G13" s="5" t="n">
        <v>0</v>
      </c>
      <c r="H13" s="4" t="n">
        <v>2</v>
      </c>
      <c r="I13" s="4" t="n">
        <v>4</v>
      </c>
      <c r="J13" s="4" t="n">
        <v>2</v>
      </c>
      <c r="K13" s="4" t="n">
        <v>55</v>
      </c>
      <c r="L13" s="4" t="n">
        <v>61</v>
      </c>
      <c r="M13" s="4" t="n">
        <v>6</v>
      </c>
      <c r="N13" s="4" t="n">
        <v>83</v>
      </c>
      <c r="O13" s="4" t="n">
        <v>102</v>
      </c>
      <c r="P13" s="4" t="n">
        <v>19</v>
      </c>
      <c r="Q13" s="5" t="n">
        <v>1</v>
      </c>
      <c r="R13" s="5" t="n"/>
    </row>
    <row r="14">
      <c r="A14" s="4" t="inlineStr">
        <is>
          <t>이수민</t>
        </is>
      </c>
      <c r="B14" s="4" t="n">
        <v>84</v>
      </c>
      <c r="C14" s="4" t="n">
        <v>94</v>
      </c>
      <c r="D14" s="4" t="n">
        <v>10</v>
      </c>
      <c r="E14" s="5" t="n">
        <v>1</v>
      </c>
      <c r="F14" s="5" t="n">
        <v>1</v>
      </c>
      <c r="G14" s="5" t="n">
        <v>0</v>
      </c>
      <c r="H14" s="4" t="n">
        <v>7</v>
      </c>
      <c r="I14" s="4" t="n">
        <v>6</v>
      </c>
      <c r="J14" s="4" t="n">
        <v>-1</v>
      </c>
      <c r="K14" s="4" t="n">
        <v>59</v>
      </c>
      <c r="L14" s="4" t="n">
        <v>60</v>
      </c>
      <c r="M14" s="4" t="n">
        <v>1</v>
      </c>
      <c r="N14" s="4" t="n">
        <v>158</v>
      </c>
      <c r="O14" s="4" t="n">
        <v>167</v>
      </c>
      <c r="P14" s="4" t="n">
        <v>9</v>
      </c>
      <c r="Q14" s="5" t="n">
        <v>0.8571428571428571</v>
      </c>
      <c r="R14" s="5" t="n">
        <v>0.8571428571428571</v>
      </c>
    </row>
    <row r="15">
      <c r="A15" s="4" t="inlineStr">
        <is>
          <t>이윤희</t>
        </is>
      </c>
      <c r="B15" s="4" t="n">
        <v>8</v>
      </c>
      <c r="C15" s="4" t="n">
        <v>6</v>
      </c>
      <c r="D15" s="4" t="n">
        <v>-2</v>
      </c>
      <c r="E15" s="5" t="n">
        <v>1</v>
      </c>
      <c r="F15" s="5" t="n">
        <v>1</v>
      </c>
      <c r="G15" s="5" t="n">
        <v>0</v>
      </c>
      <c r="H15" s="4" t="n">
        <v>8</v>
      </c>
      <c r="I15" s="4" t="n">
        <v>3</v>
      </c>
      <c r="J15" s="4" t="n">
        <v>-5</v>
      </c>
      <c r="K15" s="4" t="n">
        <v>37</v>
      </c>
      <c r="L15" s="4" t="n">
        <v>29</v>
      </c>
      <c r="M15" s="4" t="n">
        <v>-8</v>
      </c>
      <c r="N15" s="4" t="n">
        <v>62</v>
      </c>
      <c r="O15" s="4" t="n">
        <v>41</v>
      </c>
      <c r="P15" s="4" t="n">
        <v>-21</v>
      </c>
      <c r="Q15" s="5" t="n"/>
      <c r="R15" s="5" t="n"/>
    </row>
    <row r="16">
      <c r="A16" s="4" t="inlineStr">
        <is>
          <t>장연우</t>
        </is>
      </c>
      <c r="B16" s="4" t="n">
        <v>0</v>
      </c>
      <c r="C16" s="4" t="n">
        <v>0</v>
      </c>
      <c r="D16" s="4" t="n">
        <v>0</v>
      </c>
      <c r="E16" s="5" t="n"/>
      <c r="F16" s="5" t="n"/>
      <c r="G16" s="5" t="n"/>
      <c r="H16" s="4" t="n">
        <v>0</v>
      </c>
      <c r="I16" s="4" t="n">
        <v>0</v>
      </c>
      <c r="J16" s="4" t="n">
        <v>0</v>
      </c>
      <c r="K16" s="4" t="n">
        <v>0</v>
      </c>
      <c r="L16" s="4" t="n">
        <v>14</v>
      </c>
      <c r="M16" s="4" t="n">
        <v>14</v>
      </c>
      <c r="N16" s="4" t="n">
        <v>0</v>
      </c>
      <c r="O16" s="4" t="n">
        <v>14</v>
      </c>
      <c r="P16" s="4" t="n">
        <v>14</v>
      </c>
      <c r="Q16" s="5" t="n"/>
      <c r="R16" s="5" t="n"/>
    </row>
    <row r="17">
      <c r="A17" s="4" t="inlineStr">
        <is>
          <t>정유정</t>
        </is>
      </c>
      <c r="B17" s="4" t="n">
        <v>6</v>
      </c>
      <c r="C17" s="4" t="n">
        <v>9</v>
      </c>
      <c r="D17" s="4" t="n">
        <v>3</v>
      </c>
      <c r="E17" s="5" t="n">
        <v>1</v>
      </c>
      <c r="F17" s="5" t="n">
        <v>1</v>
      </c>
      <c r="G17" s="5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9</v>
      </c>
      <c r="O17" s="4" t="n">
        <v>9</v>
      </c>
      <c r="P17" s="4" t="n">
        <v>0</v>
      </c>
      <c r="Q17" s="5" t="n">
        <v>1</v>
      </c>
      <c r="R17" s="5" t="n">
        <v>1</v>
      </c>
    </row>
    <row r="18">
      <c r="A18" s="4" t="inlineStr">
        <is>
          <t>조수진</t>
        </is>
      </c>
      <c r="B18" s="4" t="n">
        <v>47</v>
      </c>
      <c r="C18" s="4" t="n">
        <v>72</v>
      </c>
      <c r="D18" s="4" t="n">
        <v>25</v>
      </c>
      <c r="E18" s="5" t="n">
        <v>1</v>
      </c>
      <c r="F18" s="5" t="n">
        <v>1</v>
      </c>
      <c r="G18" s="5" t="n">
        <v>0</v>
      </c>
      <c r="H18" s="4" t="n">
        <v>0</v>
      </c>
      <c r="I18" s="4" t="n">
        <v>0</v>
      </c>
      <c r="J18" s="4" t="n">
        <v>0</v>
      </c>
      <c r="K18" s="4" t="n">
        <v>10</v>
      </c>
      <c r="L18" s="4" t="n">
        <v>35</v>
      </c>
      <c r="M18" s="4" t="n">
        <v>25</v>
      </c>
      <c r="N18" s="4" t="n">
        <v>73</v>
      </c>
      <c r="O18" s="4" t="n">
        <v>111</v>
      </c>
      <c r="P18" s="4" t="n">
        <v>38</v>
      </c>
      <c r="Q18" s="5" t="n">
        <v>1</v>
      </c>
      <c r="R18" s="5" t="n">
        <v>1</v>
      </c>
    </row>
    <row r="19">
      <c r="A19" s="4" t="inlineStr">
        <is>
          <t>조윤정</t>
        </is>
      </c>
      <c r="B19" s="4" t="n">
        <v>29</v>
      </c>
      <c r="C19" s="4" t="n">
        <v>42</v>
      </c>
      <c r="D19" s="4" t="n">
        <v>13</v>
      </c>
      <c r="E19" s="5" t="n">
        <v>1</v>
      </c>
      <c r="F19" s="5" t="n">
        <v>0.9523809523809523</v>
      </c>
      <c r="G19" s="5" t="n">
        <v>-0.04761904761904767</v>
      </c>
      <c r="H19" s="4" t="n">
        <v>3</v>
      </c>
      <c r="I19" s="4" t="n">
        <v>0</v>
      </c>
      <c r="J19" s="4" t="n">
        <v>-3</v>
      </c>
      <c r="K19" s="4" t="n">
        <v>50</v>
      </c>
      <c r="L19" s="4" t="n">
        <v>60</v>
      </c>
      <c r="M19" s="4" t="n">
        <v>10</v>
      </c>
      <c r="N19" s="4" t="n">
        <v>91</v>
      </c>
      <c r="O19" s="4" t="n">
        <v>107</v>
      </c>
      <c r="P19" s="4" t="n">
        <v>16</v>
      </c>
      <c r="Q19" s="5" t="n"/>
      <c r="R19" s="5" t="n">
        <v>0.5</v>
      </c>
    </row>
    <row r="20">
      <c r="A20" s="4" t="inlineStr">
        <is>
          <t>최지은</t>
        </is>
      </c>
      <c r="B20" s="4" t="n">
        <v>12</v>
      </c>
      <c r="C20" s="4" t="n">
        <v>13</v>
      </c>
      <c r="D20" s="4" t="n">
        <v>1</v>
      </c>
      <c r="E20" s="5" t="n">
        <v>1</v>
      </c>
      <c r="F20" s="5" t="n">
        <v>1</v>
      </c>
      <c r="G20" s="5" t="n">
        <v>0</v>
      </c>
      <c r="H20" s="4" t="n">
        <v>0</v>
      </c>
      <c r="I20" s="4" t="n">
        <v>0</v>
      </c>
      <c r="J20" s="4" t="n">
        <v>0</v>
      </c>
      <c r="K20" s="4" t="n">
        <v>31</v>
      </c>
      <c r="L20" s="4" t="n">
        <v>38</v>
      </c>
      <c r="M20" s="4" t="n">
        <v>7</v>
      </c>
      <c r="N20" s="4" t="n">
        <v>43</v>
      </c>
      <c r="O20" s="4" t="n">
        <v>51</v>
      </c>
      <c r="P20" s="4" t="n">
        <v>8</v>
      </c>
      <c r="Q20" s="5" t="n"/>
      <c r="R20" s="5" t="n"/>
    </row>
    <row r="21">
      <c r="A21" s="4" t="inlineStr">
        <is>
          <t>한진주</t>
        </is>
      </c>
      <c r="B21" s="4" t="n">
        <v>44</v>
      </c>
      <c r="C21" s="4" t="n">
        <v>8</v>
      </c>
      <c r="D21" s="4" t="n">
        <v>-36</v>
      </c>
      <c r="E21" s="5" t="n">
        <v>1</v>
      </c>
      <c r="F21" s="5" t="n">
        <v>1</v>
      </c>
      <c r="G21" s="5" t="n">
        <v>0</v>
      </c>
      <c r="H21" s="4" t="n">
        <v>0</v>
      </c>
      <c r="I21" s="4" t="n">
        <v>0</v>
      </c>
      <c r="J21" s="4" t="n">
        <v>0</v>
      </c>
      <c r="K21" s="4" t="n">
        <v>24</v>
      </c>
      <c r="L21" s="4" t="n">
        <v>0</v>
      </c>
      <c r="M21" s="4" t="n">
        <v>-24</v>
      </c>
      <c r="N21" s="4" t="n">
        <v>75</v>
      </c>
      <c r="O21" s="4" t="n">
        <v>12</v>
      </c>
      <c r="P21" s="4" t="n">
        <v>-63</v>
      </c>
      <c r="Q21" s="5" t="n"/>
      <c r="R21" s="5" t="n"/>
    </row>
    <row r="22">
      <c r="A22" s="4" t="inlineStr">
        <is>
          <t>허다연</t>
        </is>
      </c>
      <c r="B22" s="4" t="n">
        <v>73</v>
      </c>
      <c r="C22" s="4" t="n">
        <v>86</v>
      </c>
      <c r="D22" s="4" t="n">
        <v>13</v>
      </c>
      <c r="E22" s="5" t="n">
        <v>0.9726027397260274</v>
      </c>
      <c r="F22" s="5" t="n">
        <v>0.9883720930232558</v>
      </c>
      <c r="G22" s="5" t="n">
        <v>0.01576935329722839</v>
      </c>
      <c r="H22" s="4" t="n">
        <v>0</v>
      </c>
      <c r="I22" s="4" t="n">
        <v>0</v>
      </c>
      <c r="J22" s="4" t="n">
        <v>0</v>
      </c>
      <c r="K22" s="4" t="n">
        <v>22</v>
      </c>
      <c r="L22" s="4" t="n">
        <v>64</v>
      </c>
      <c r="M22" s="4" t="n">
        <v>42</v>
      </c>
      <c r="N22" s="4" t="n">
        <v>95</v>
      </c>
      <c r="O22" s="4" t="n">
        <v>175</v>
      </c>
      <c r="P22" s="4" t="n">
        <v>80</v>
      </c>
      <c r="Q22" s="5" t="n">
        <v>1</v>
      </c>
      <c r="R22" s="5" t="n">
        <v>1</v>
      </c>
    </row>
    <row r="23">
      <c r="A23" s="4" t="inlineStr">
        <is>
          <t>현미란</t>
        </is>
      </c>
      <c r="B23" s="4" t="n">
        <v>9</v>
      </c>
      <c r="C23" s="4" t="n">
        <v>16</v>
      </c>
      <c r="D23" s="4" t="n">
        <v>7</v>
      </c>
      <c r="E23" s="5" t="n">
        <v>1</v>
      </c>
      <c r="F23" s="5" t="n">
        <v>1</v>
      </c>
      <c r="G23" s="5" t="n">
        <v>0</v>
      </c>
      <c r="H23" s="4" t="n">
        <v>0</v>
      </c>
      <c r="I23" s="4" t="n">
        <v>0</v>
      </c>
      <c r="J23" s="4" t="n">
        <v>0</v>
      </c>
      <c r="K23" s="4" t="n">
        <v>8</v>
      </c>
      <c r="L23" s="4" t="n">
        <v>31</v>
      </c>
      <c r="M23" s="4" t="n">
        <v>23</v>
      </c>
      <c r="N23" s="4" t="n">
        <v>17</v>
      </c>
      <c r="O23" s="4" t="n">
        <v>65</v>
      </c>
      <c r="P23" s="4" t="n">
        <v>48</v>
      </c>
      <c r="Q23" s="5" t="n">
        <v>1</v>
      </c>
      <c r="R23" s="5" t="n">
        <v>1</v>
      </c>
    </row>
  </sheetData>
  <mergeCells count="1">
    <mergeCell ref="A1:R1"/>
  </mergeCells>
  <conditionalFormatting sqref="D4:D2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4:G2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4:J2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4:M2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P4:P23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TRNT 필라테스 - 전체 스튜디오 월별 현황</t>
        </is>
      </c>
    </row>
    <row r="3">
      <c r="A3" s="8" t="inlineStr">
        <is>
          <t>항목</t>
        </is>
      </c>
      <c r="B3" s="8" t="inlineStr">
        <is>
          <t>2월</t>
        </is>
      </c>
      <c r="C3" s="8" t="inlineStr">
        <is>
          <t>3월</t>
        </is>
      </c>
      <c r="D3" s="8" t="inlineStr">
        <is>
          <t>증감</t>
        </is>
      </c>
      <c r="E3" s="8" t="inlineStr">
        <is>
          <t>증감율</t>
        </is>
      </c>
    </row>
    <row r="4">
      <c r="A4" s="4" t="inlineStr">
        <is>
          <t>총 수업 건수</t>
        </is>
      </c>
      <c r="B4" s="4" t="n">
        <v>1781</v>
      </c>
      <c r="C4" s="4" t="n">
        <v>2015</v>
      </c>
      <c r="D4" s="4" t="n">
        <v>234</v>
      </c>
      <c r="E4" s="5" t="n">
        <v>0.1313868613138686</v>
      </c>
    </row>
    <row r="5">
      <c r="A5" s="4" t="inlineStr">
        <is>
          <t>총 출석 건수</t>
        </is>
      </c>
      <c r="B5" s="4" t="n">
        <v>1766</v>
      </c>
      <c r="C5" s="4" t="n">
        <v>1993</v>
      </c>
      <c r="D5" s="4" t="n">
        <v>227</v>
      </c>
      <c r="E5" s="5" t="n">
        <v>0.1285390713476784</v>
      </c>
    </row>
    <row r="6">
      <c r="A6" s="4" t="inlineStr">
        <is>
          <t>개인 수업 건수</t>
        </is>
      </c>
      <c r="B6" s="4" t="n">
        <v>895</v>
      </c>
      <c r="C6" s="4" t="n">
        <v>1023</v>
      </c>
      <c r="D6" s="4" t="n">
        <v>128</v>
      </c>
      <c r="E6" s="5" t="n">
        <v>0.1430167597765363</v>
      </c>
    </row>
    <row r="7">
      <c r="A7" s="4" t="inlineStr">
        <is>
          <t>개인 출석 건수</t>
        </is>
      </c>
      <c r="B7" s="4" t="n">
        <v>892</v>
      </c>
      <c r="C7" s="4" t="n">
        <v>1020</v>
      </c>
      <c r="D7" s="4" t="n">
        <v>128</v>
      </c>
      <c r="E7" s="5" t="n">
        <v>0.1434977578475336</v>
      </c>
    </row>
    <row r="8">
      <c r="A8" s="4" t="inlineStr">
        <is>
          <t>듀엣 출석 건수</t>
        </is>
      </c>
      <c r="B8" s="4" t="n">
        <v>67</v>
      </c>
      <c r="C8" s="4" t="n">
        <v>69</v>
      </c>
      <c r="D8" s="4" t="n">
        <v>2</v>
      </c>
      <c r="E8" s="5" t="n">
        <v>0.02985074626865672</v>
      </c>
    </row>
    <row r="9">
      <c r="A9" s="4" t="inlineStr">
        <is>
          <t>그룹 출석 건수</t>
        </is>
      </c>
      <c r="B9" s="4" t="n">
        <v>594</v>
      </c>
      <c r="C9" s="4" t="n">
        <v>721</v>
      </c>
      <c r="D9" s="4" t="n">
        <v>127</v>
      </c>
      <c r="E9" s="5" t="n">
        <v>0.2138047138047138</v>
      </c>
    </row>
    <row r="10">
      <c r="A10" s="4" t="inlineStr">
        <is>
          <t>그룹 회원 수(유니크)</t>
        </is>
      </c>
      <c r="B10" s="4" t="n">
        <v>338</v>
      </c>
      <c r="C10" s="4" t="n">
        <v>383</v>
      </c>
      <c r="D10" s="4" t="n">
        <v>45</v>
      </c>
      <c r="E10" s="5" t="n">
        <v>0.1331360946745562</v>
      </c>
    </row>
    <row r="11">
      <c r="A11" s="4" t="inlineStr">
        <is>
          <t>아카데미 수업</t>
        </is>
      </c>
      <c r="B11" s="4" t="n">
        <v>203</v>
      </c>
      <c r="C11" s="4" t="n">
        <v>174</v>
      </c>
      <c r="D11" s="4" t="n">
        <v>-29</v>
      </c>
      <c r="E11" s="5" t="n">
        <v>-0.1428571428571428</v>
      </c>
    </row>
    <row r="12">
      <c r="A12" s="4" t="inlineStr">
        <is>
          <t>개인체험(OT) 건수</t>
        </is>
      </c>
      <c r="B12" s="4" t="n">
        <v>10</v>
      </c>
      <c r="C12" s="4" t="n">
        <v>11</v>
      </c>
      <c r="D12" s="4" t="n">
        <v>1</v>
      </c>
      <c r="E12" s="5" t="n">
        <v>0.1</v>
      </c>
    </row>
    <row r="13">
      <c r="A13" s="4" t="inlineStr">
        <is>
          <t>평균 개인출석율</t>
        </is>
      </c>
      <c r="B13" s="5" t="n">
        <v>0.9972743418854521</v>
      </c>
      <c r="C13" s="5" t="n">
        <v>0.9968817392318003</v>
      </c>
      <c r="D13" s="5" t="n">
        <v>-0.000392602653651708</v>
      </c>
      <c r="E13" s="5" t="n">
        <v>-0.000393675678960567</v>
      </c>
    </row>
    <row r="14">
      <c r="A14" s="4" t="inlineStr">
        <is>
          <t>평균 그룹출석율</t>
        </is>
      </c>
      <c r="B14" s="5" t="n">
        <v>0.9841539231539949</v>
      </c>
      <c r="C14" s="5" t="n">
        <v>0.981985235921222</v>
      </c>
      <c r="D14" s="5" t="n">
        <v>-0.002168687232772859</v>
      </c>
      <c r="E14" s="5" t="n">
        <v>-0.002203605738645737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0" t="inlineStr">
        <is>
          <t>TRNT 필라테스 - 팀별 비교</t>
        </is>
      </c>
    </row>
    <row r="3">
      <c r="A3" s="21" t="inlineStr">
        <is>
          <t>※ "설정" 시트에서 강사별 팀을 배정한 후, 이 시트의 데이터가 자동으로 업데이트됩니다.</t>
        </is>
      </c>
    </row>
    <row r="5">
      <c r="A5" s="22" t="inlineStr">
        <is>
          <t>팀</t>
        </is>
      </c>
      <c r="B5" s="22" t="inlineStr">
        <is>
          <t>강사수</t>
        </is>
      </c>
      <c r="C5" s="22" t="inlineStr">
        <is>
          <t>총수업수</t>
        </is>
      </c>
      <c r="D5" s="22" t="inlineStr">
        <is>
          <t>개인수업수</t>
        </is>
      </c>
      <c r="E5" s="22" t="inlineStr">
        <is>
          <t>개인출석율</t>
        </is>
      </c>
      <c r="F5" s="22" t="inlineStr">
        <is>
          <t>듀엣수업수</t>
        </is>
      </c>
      <c r="G5" s="22" t="inlineStr">
        <is>
          <t>그룹출석수</t>
        </is>
      </c>
      <c r="H5" s="22" t="inlineStr">
        <is>
          <t>그룹출석율</t>
        </is>
      </c>
      <c r="I5" s="22" t="inlineStr">
        <is>
          <t>재등록률</t>
        </is>
      </c>
      <c r="J5" s="22" t="inlineStr">
        <is>
          <t>체험등록율</t>
        </is>
      </c>
    </row>
    <row r="6">
      <c r="A6" s="23" t="inlineStr">
        <is>
          <t>A팀</t>
        </is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</row>
    <row r="7">
      <c r="A7" s="23" t="inlineStr">
        <is>
          <t>B팀</t>
        </is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</row>
    <row r="8">
      <c r="A8" s="23" t="inlineStr">
        <is>
          <t>C팀</t>
        </is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</row>
    <row r="9">
      <c r="A9" s="23" t="inlineStr">
        <is>
          <t>D팀</t>
        </is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</row>
    <row r="11">
      <c r="A11" s="11" t="inlineStr">
        <is>
          <t>※ 팀이 설정되면 SUMIFS/AVERAGEIFS 수식으로 자동 집계됩니다. 팀 배정 후 다시 리포트를 생성해주세요.</t>
        </is>
      </c>
    </row>
  </sheetData>
  <mergeCells count="3">
    <mergeCell ref="A1:J1"/>
    <mergeCell ref="A3:J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2026-04-09T16:16:07Z</dcterms:created>
  <dcterms:modified xsi:type="dcterms:W3CDTF">2026-04-09T16:22:55Z</dcterms:modified>
</cp:coreProperties>
</file>